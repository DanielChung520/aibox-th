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量產產能規劃(範例)" sheetId="1" r:id="rId5"/>
    <sheet state="visible" name="(試量產)產能.人力 說明圖" sheetId="2" r:id="rId6"/>
  </sheets>
  <definedNames/>
  <calcPr/>
</workbook>
</file>

<file path=xl/sharedStrings.xml><?xml version="1.0" encoding="utf-8"?>
<sst xmlns="http://schemas.openxmlformats.org/spreadsheetml/2006/main" count="124" uniqueCount="71">
  <si>
    <t>量產產能規劃表(F表及附件)
Mass production Capacity Planning Table (Table F)</t>
  </si>
  <si>
    <t>基本假設：</t>
  </si>
  <si>
    <t>技師能力</t>
  </si>
  <si>
    <t>技轉完成(熟手)</t>
  </si>
  <si>
    <t>編組</t>
  </si>
  <si>
    <t>每台車兩人一組</t>
  </si>
  <si>
    <t>和泰車要望(初始計畫 30 台)：高頂 13輛、平頂17輛</t>
  </si>
  <si>
    <t>【試量產(無浪費) (Pre-Condition: 資源投入法測優先)】</t>
  </si>
  <si>
    <t>起訖時間：07.09 - 08.31</t>
  </si>
  <si>
    <t>交車日原廠設定</t>
  </si>
  <si>
    <t>福祉收車日 + 30 日曆天</t>
  </si>
  <si>
    <t>按生產時間分配比例 (高:平)</t>
  </si>
  <si>
    <t>工程施工寬放率</t>
  </si>
  <si>
    <t>20%</t>
  </si>
  <si>
    <t>平頂(全)</t>
  </si>
  <si>
    <t>高頂(全)</t>
  </si>
  <si>
    <t>本次異動原因</t>
  </si>
  <si>
    <t>提升品質工法校準</t>
  </si>
  <si>
    <t>單線高頂車輛數</t>
  </si>
  <si>
    <t>-</t>
  </si>
  <si>
    <t>單線平頂車輛數</t>
  </si>
  <si>
    <t>工作天</t>
  </si>
  <si>
    <t>總生產車輛數</t>
  </si>
  <si>
    <t>高頂福祉車</t>
  </si>
  <si>
    <t>作業</t>
  </si>
  <si>
    <t>工時(天)</t>
  </si>
  <si>
    <t>人力</t>
  </si>
  <si>
    <t>角色</t>
  </si>
  <si>
    <t>總高頂車輛數</t>
  </si>
  <si>
    <t>訂單/需求觸發日</t>
  </si>
  <si>
    <t>業務</t>
  </si>
  <si>
    <t>總平頂車輛數</t>
  </si>
  <si>
    <t>採購原物料(供應商)</t>
  </si>
  <si>
    <t>採購</t>
  </si>
  <si>
    <t>FRP料件委製</t>
  </si>
  <si>
    <t>基數條件</t>
  </si>
  <si>
    <t>進貨(料)驗收</t>
  </si>
  <si>
    <t>倉管</t>
  </si>
  <si>
    <t>生產總天數</t>
  </si>
  <si>
    <t>原廠車輛運輸到福祉</t>
  </si>
  <si>
    <t>泛台</t>
  </si>
  <si>
    <t>高頂天數</t>
  </si>
  <si>
    <t>設備工具治具就定位</t>
  </si>
  <si>
    <t>工程</t>
  </si>
  <si>
    <t>平頂天數</t>
  </si>
  <si>
    <t>領料</t>
  </si>
  <si>
    <t>產線數</t>
  </si>
  <si>
    <t>廠內調度(上線生廠)</t>
  </si>
  <si>
    <t>工程施工</t>
  </si>
  <si>
    <r>
      <rPr>
        <rFont val="新細明體"/>
        <b/>
        <strike/>
        <color rgb="FF0000FF"/>
        <sz val="12.0"/>
      </rPr>
      <t>12</t>
    </r>
    <r>
      <rPr>
        <rFont val="新細明體"/>
        <b/>
        <color rgb="FF0000FF"/>
        <sz val="12.0"/>
      </rPr>
      <t xml:space="preserve"> 16</t>
    </r>
  </si>
  <si>
    <t>成品檢驗</t>
  </si>
  <si>
    <t>品管</t>
  </si>
  <si>
    <t>【量產(無浪費) (Pre-Condition: 獲得合格證)】</t>
  </si>
  <si>
    <t xml:space="preserve">起訖時間：09.02 - </t>
  </si>
  <si>
    <t>法測項目檢驗</t>
  </si>
  <si>
    <t>法規</t>
  </si>
  <si>
    <t>廠內調度(下線完工)</t>
  </si>
  <si>
    <t>(當日無拖車)完工入庫</t>
  </si>
  <si>
    <t>6比4</t>
  </si>
  <si>
    <t>5比5</t>
  </si>
  <si>
    <t>4比6</t>
  </si>
  <si>
    <t>3比7</t>
  </si>
  <si>
    <t>載運輪椅車輛運輸到PDS點交</t>
  </si>
  <si>
    <r>
      <rPr>
        <rFont val="PMingLiu"/>
        <color theme="1"/>
        <sz val="12.0"/>
      </rPr>
      <t xml:space="preserve">(事先備料) </t>
    </r>
    <r>
      <rPr>
        <rFont val="新細明體"/>
        <color rgb="FF0000FF"/>
        <sz val="12.0"/>
      </rPr>
      <t>18 天</t>
    </r>
    <r>
      <rPr>
        <rFont val="新細明體"/>
        <color theme="1"/>
        <sz val="12.0"/>
      </rPr>
      <t xml:space="preserve"> / (無事先備料) </t>
    </r>
    <r>
      <rPr>
        <rFont val="新細明體"/>
        <color rgb="FFFF0000"/>
        <sz val="12.0"/>
      </rPr>
      <t>36天(NG)</t>
    </r>
  </si>
  <si>
    <t>執行方案：事先備料 4 套。試量產(V2.0)：「每條產線，每18天生產乙台。」</t>
  </si>
  <si>
    <t>平頂福祉車</t>
  </si>
  <si>
    <t>註：Excel運算取整數(有誤差)</t>
  </si>
  <si>
    <r>
      <rPr>
        <rFont val="新細明體"/>
        <b/>
        <strike/>
        <color rgb="FF0000FF"/>
        <sz val="12.0"/>
      </rPr>
      <t>6</t>
    </r>
    <r>
      <rPr>
        <rFont val="新細明體"/>
        <b/>
        <color rgb="FF0000FF"/>
        <sz val="12.0"/>
      </rPr>
      <t xml:space="preserve"> 10</t>
    </r>
  </si>
  <si>
    <r>
      <rPr>
        <rFont val="PMingLiu"/>
        <color theme="1"/>
        <sz val="12.0"/>
      </rPr>
      <t xml:space="preserve">(事先備料) </t>
    </r>
    <r>
      <rPr>
        <rFont val="新細明體"/>
        <color rgb="FF0000FF"/>
        <sz val="12.0"/>
      </rPr>
      <t>12 天</t>
    </r>
    <r>
      <rPr>
        <rFont val="新細明體"/>
        <color theme="1"/>
        <sz val="12.0"/>
      </rPr>
      <t>/ (無事先備料)</t>
    </r>
    <r>
      <rPr>
        <rFont val="新細明體"/>
        <color rgb="FF0000FF"/>
        <sz val="12.0"/>
      </rPr>
      <t xml:space="preserve"> 25天</t>
    </r>
  </si>
  <si>
    <t>執行方案：事先備料 4 套。試量產(V2.0)：「每條產線，每12天生產乙台。」</t>
  </si>
  <si>
    <t>2025/09/25 V02.TB-T63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</si>
</sst>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2.0"/>
      <color theme="1"/>
      <name val="PMingLiu"/>
      <scheme val="minor"/>
    </font>
    <font>
      <sz val="20.0"/>
      <color theme="1"/>
      <name val="Microsoft JhengHei"/>
    </font>
    <font/>
    <font>
      <sz val="12.0"/>
      <color theme="1"/>
      <name val="PMingLiu"/>
    </font>
    <font>
      <sz val="12.0"/>
      <color rgb="FF0000FF"/>
      <name val="PMingLiu"/>
    </font>
    <font>
      <color theme="1"/>
      <name val="PMingLiu"/>
      <scheme val="minor"/>
    </font>
    <font>
      <sz val="10.0"/>
      <color theme="1"/>
      <name val="PMingLiu"/>
    </font>
    <font>
      <sz val="10.0"/>
      <color rgb="FFFF0000"/>
      <name val="PMingLiu"/>
    </font>
    <font>
      <sz val="12.0"/>
      <color rgb="FFFF0000"/>
      <name val="PMingLiu"/>
    </font>
    <font>
      <b/>
      <sz val="12.0"/>
      <color rgb="FFFF0000"/>
      <name val="PMingLiu"/>
    </font>
    <font>
      <b/>
      <sz val="12.0"/>
      <color rgb="FF0000FF"/>
      <name val="PMingLiu"/>
    </font>
    <font>
      <b/>
      <sz val="12.0"/>
      <color theme="1"/>
      <name val="PMingLiu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E36C09"/>
        <bgColor rgb="FFE36C09"/>
      </patternFill>
    </fill>
  </fills>
  <borders count="3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FF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FF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horizontal="left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2" fillId="0" fontId="3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8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49" xfId="0" applyAlignment="1" applyBorder="1" applyFont="1" applyNumberFormat="1">
      <alignment horizontal="center" vertical="center"/>
    </xf>
    <xf borderId="7" fillId="2" fontId="3" numFmtId="0" xfId="0" applyAlignment="1" applyBorder="1" applyFill="1" applyFont="1">
      <alignment vertical="center"/>
    </xf>
    <xf borderId="7" fillId="0" fontId="3" numFmtId="20" xfId="0" applyAlignment="1" applyBorder="1" applyFont="1" applyNumberFormat="1">
      <alignment vertical="center"/>
    </xf>
    <xf borderId="7" fillId="3" fontId="3" numFmtId="0" xfId="0" applyAlignment="1" applyBorder="1" applyFill="1" applyFont="1">
      <alignment vertical="center"/>
    </xf>
    <xf borderId="7" fillId="0" fontId="6" numFmtId="0" xfId="0" applyAlignment="1" applyBorder="1" applyFont="1">
      <alignment vertical="center"/>
    </xf>
    <xf borderId="7" fillId="2" fontId="3" numFmtId="1" xfId="0" applyAlignment="1" applyBorder="1" applyFont="1" applyNumberFormat="1">
      <alignment vertical="center"/>
    </xf>
    <xf borderId="7" fillId="0" fontId="3" numFmtId="1" xfId="0" applyAlignment="1" applyBorder="1" applyFont="1" applyNumberFormat="1">
      <alignment vertical="center"/>
    </xf>
    <xf borderId="7" fillId="3" fontId="3" numFmtId="1" xfId="0" applyAlignment="1" applyBorder="1" applyFont="1" applyNumberFormat="1">
      <alignment vertical="center"/>
    </xf>
    <xf borderId="0" fillId="0" fontId="4" numFmtId="4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8" fillId="0" fontId="6" numFmtId="0" xfId="0" applyAlignment="1" applyBorder="1" applyFont="1">
      <alignment vertical="center"/>
    </xf>
    <xf borderId="13" fillId="2" fontId="3" numFmtId="1" xfId="0" applyAlignment="1" applyBorder="1" applyFont="1" applyNumberFormat="1">
      <alignment vertical="center"/>
    </xf>
    <xf borderId="13" fillId="3" fontId="3" numFmtId="1" xfId="0" applyAlignment="1" applyBorder="1" applyFont="1" applyNumberFormat="1">
      <alignment vertical="center"/>
    </xf>
    <xf borderId="14" fillId="0" fontId="3" numFmtId="0" xfId="0" applyAlignment="1" applyBorder="1" applyFont="1">
      <alignment horizontal="center" textRotation="255" vertical="center"/>
    </xf>
    <xf borderId="7" fillId="0" fontId="3" numFmtId="0" xfId="0" applyAlignment="1" applyBorder="1" applyFont="1">
      <alignment horizontal="center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0" fillId="0" fontId="6" numFmtId="0" xfId="0" applyAlignment="1" applyFont="1">
      <alignment horizontal="right" vertical="center"/>
    </xf>
    <xf borderId="16" fillId="0" fontId="3" numFmtId="1" xfId="0" applyAlignment="1" applyBorder="1" applyFont="1" applyNumberFormat="1">
      <alignment vertical="center"/>
    </xf>
    <xf borderId="0" fillId="0" fontId="3" numFmtId="1" xfId="0" applyAlignment="1" applyFont="1" applyNumberFormat="1">
      <alignment vertical="center"/>
    </xf>
    <xf borderId="3" fillId="0" fontId="3" numFmtId="1" xfId="0" applyAlignment="1" applyBorder="1" applyFont="1" applyNumberFormat="1">
      <alignment vertical="center"/>
    </xf>
    <xf borderId="12" fillId="0" fontId="3" numFmtId="1" xfId="0" applyAlignment="1" applyBorder="1" applyFont="1" applyNumberFormat="1">
      <alignment vertical="center"/>
    </xf>
    <xf borderId="17" fillId="0" fontId="2" numFmtId="0" xfId="0" applyAlignment="1" applyBorder="1" applyFont="1">
      <alignment vertical="center"/>
    </xf>
    <xf borderId="7" fillId="2" fontId="6" numFmtId="164" xfId="0" applyAlignment="1" applyBorder="1" applyFont="1" applyNumberFormat="1">
      <alignment vertical="center"/>
    </xf>
    <xf borderId="7" fillId="0" fontId="6" numFmtId="164" xfId="0" applyAlignment="1" applyBorder="1" applyFont="1" applyNumberFormat="1">
      <alignment vertical="center"/>
    </xf>
    <xf borderId="10" fillId="0" fontId="6" numFmtId="164" xfId="0" applyAlignment="1" applyBorder="1" applyFont="1" applyNumberFormat="1">
      <alignment vertical="center"/>
    </xf>
    <xf borderId="8" fillId="0" fontId="6" numFmtId="164" xfId="0" applyAlignment="1" applyBorder="1" applyFont="1" applyNumberFormat="1">
      <alignment vertical="center"/>
    </xf>
    <xf borderId="18" fillId="0" fontId="6" numFmtId="164" xfId="0" applyAlignment="1" applyBorder="1" applyFont="1" applyNumberFormat="1">
      <alignment vertical="center"/>
    </xf>
    <xf borderId="3" fillId="0" fontId="6" numFmtId="0" xfId="0" applyAlignment="1" applyBorder="1" applyFont="1">
      <alignment horizontal="right" vertical="center"/>
    </xf>
    <xf borderId="19" fillId="0" fontId="9" numFmtId="1" xfId="0" applyAlignment="1" applyBorder="1" applyFont="1" applyNumberFormat="1">
      <alignment vertical="center"/>
    </xf>
    <xf borderId="5" fillId="0" fontId="3" numFmtId="1" xfId="0" applyAlignment="1" applyBorder="1" applyFont="1" applyNumberFormat="1">
      <alignment vertical="center"/>
    </xf>
    <xf borderId="7" fillId="4" fontId="6" numFmtId="164" xfId="0" applyAlignment="1" applyBorder="1" applyFill="1" applyFont="1" applyNumberFormat="1">
      <alignment vertical="center"/>
    </xf>
    <xf borderId="20" fillId="4" fontId="6" numFmtId="164" xfId="0" applyAlignment="1" applyBorder="1" applyFont="1" applyNumberFormat="1">
      <alignment vertical="center"/>
    </xf>
    <xf borderId="7" fillId="5" fontId="6" numFmtId="164" xfId="0" applyAlignment="1" applyBorder="1" applyFill="1" applyFont="1" applyNumberFormat="1">
      <alignment vertical="center"/>
    </xf>
    <xf borderId="7" fillId="6" fontId="3" numFmtId="0" xfId="0" applyAlignment="1" applyBorder="1" applyFill="1" applyFont="1">
      <alignment horizontal="center" vertical="center"/>
    </xf>
    <xf borderId="18" fillId="6" fontId="6" numFmtId="164" xfId="0" applyAlignment="1" applyBorder="1" applyFont="1" applyNumberFormat="1">
      <alignment vertical="center"/>
    </xf>
    <xf borderId="14" fillId="0" fontId="6" numFmtId="164" xfId="0" applyAlignment="1" applyBorder="1" applyFont="1" applyNumberFormat="1">
      <alignment vertical="center"/>
    </xf>
    <xf borderId="21" fillId="0" fontId="6" numFmtId="164" xfId="0" applyAlignment="1" applyBorder="1" applyFont="1" applyNumberFormat="1">
      <alignment vertical="center"/>
    </xf>
    <xf borderId="22" fillId="7" fontId="6" numFmtId="164" xfId="0" applyAlignment="1" applyBorder="1" applyFill="1" applyFont="1" applyNumberFormat="1">
      <alignment vertical="center"/>
    </xf>
    <xf borderId="23" fillId="0" fontId="6" numFmtId="164" xfId="0" applyAlignment="1" applyBorder="1" applyFont="1" applyNumberFormat="1">
      <alignment vertical="center"/>
    </xf>
    <xf borderId="23" fillId="0" fontId="3" numFmtId="0" xfId="0" applyAlignment="1" applyBorder="1" applyFont="1">
      <alignment vertical="center"/>
    </xf>
    <xf borderId="24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25" fillId="7" fontId="6" numFmtId="164" xfId="0" applyAlignment="1" applyBorder="1" applyFont="1" applyNumberFormat="1">
      <alignment vertical="center"/>
    </xf>
    <xf borderId="26" fillId="0" fontId="3" numFmtId="0" xfId="0" applyAlignment="1" applyBorder="1" applyFont="1">
      <alignment vertical="center"/>
    </xf>
    <xf borderId="7" fillId="0" fontId="10" numFmtId="0" xfId="0" applyAlignment="1" applyBorder="1" applyFont="1">
      <alignment horizontal="center" vertical="center"/>
    </xf>
    <xf borderId="25" fillId="0" fontId="6" numFmtId="164" xfId="0" applyAlignment="1" applyBorder="1" applyFont="1" applyNumberFormat="1">
      <alignment vertical="center"/>
    </xf>
    <xf borderId="7" fillId="7" fontId="6" numFmtId="164" xfId="0" applyAlignment="1" applyBorder="1" applyFont="1" applyNumberForma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6" fillId="8" fontId="6" numFmtId="164" xfId="0" applyAlignment="1" applyBorder="1" applyFill="1" applyFont="1" applyNumberFormat="1">
      <alignment vertical="center"/>
    </xf>
    <xf borderId="29" fillId="0" fontId="6" numFmtId="164" xfId="0" applyAlignment="1" applyBorder="1" applyFont="1" applyNumberFormat="1">
      <alignment vertical="center"/>
    </xf>
    <xf borderId="30" fillId="0" fontId="6" numFmtId="164" xfId="0" applyAlignment="1" applyBorder="1" applyFont="1" applyNumberFormat="1">
      <alignment vertical="center"/>
    </xf>
    <xf borderId="30" fillId="0" fontId="3" numFmtId="0" xfId="0" applyAlignment="1" applyBorder="1" applyFont="1">
      <alignment vertical="center"/>
    </xf>
    <xf borderId="31" fillId="9" fontId="6" numFmtId="164" xfId="0" applyAlignment="1" applyBorder="1" applyFill="1" applyFont="1" applyNumberFormat="1">
      <alignment vertical="center"/>
    </xf>
    <xf borderId="32" fillId="0" fontId="6" numFmtId="164" xfId="0" applyAlignment="1" applyBorder="1" applyFont="1" applyNumberFormat="1">
      <alignment vertical="center"/>
    </xf>
    <xf borderId="32" fillId="0" fontId="3" numFmtId="0" xfId="0" applyAlignment="1" applyBorder="1" applyFont="1">
      <alignment vertical="center"/>
    </xf>
    <xf borderId="33" fillId="9" fontId="6" numFmtId="164" xfId="0" applyAlignment="1" applyBorder="1" applyFont="1" applyNumberFormat="1">
      <alignment vertical="center"/>
    </xf>
    <xf borderId="7" fillId="6" fontId="6" numFmtId="164" xfId="0" applyAlignment="1" applyBorder="1" applyFont="1" applyNumberFormat="1">
      <alignment vertical="center"/>
    </xf>
    <xf borderId="32" fillId="0" fontId="2" numFmtId="0" xfId="0" applyAlignment="1" applyBorder="1" applyFont="1">
      <alignment vertical="center"/>
    </xf>
    <xf borderId="8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9" fillId="0" fontId="3" numFmtId="1" xfId="0" applyAlignment="1" applyBorder="1" applyFont="1" applyNumberFormat="1">
      <alignment vertical="center"/>
    </xf>
    <xf borderId="0" fillId="0" fontId="6" numFmtId="0" xfId="0" applyAlignment="1" applyFont="1">
      <alignment vertical="center"/>
    </xf>
    <xf borderId="8" fillId="0" fontId="11" numFmtId="0" xfId="0" applyAlignment="1" applyBorder="1" applyFont="1">
      <alignment horizontal="left" vertical="center"/>
    </xf>
    <xf borderId="0" fillId="0" fontId="11" numFmtId="0" xfId="0" applyAlignment="1" applyFont="1">
      <alignment horizontal="left" vertical="center"/>
    </xf>
    <xf borderId="11" fillId="0" fontId="11" numFmtId="0" xfId="0" applyAlignment="1" applyBorder="1" applyFont="1">
      <alignment horizontal="left" vertical="center"/>
    </xf>
    <xf borderId="34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19050</xdr:colOff>
      <xdr:row>36</xdr:row>
      <xdr:rowOff>190500</xdr:rowOff>
    </xdr:from>
    <xdr:ext cx="9725025" cy="34575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</xdr:row>
      <xdr:rowOff>0</xdr:rowOff>
    </xdr:from>
    <xdr:ext cx="9201150" cy="7639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8.33"/>
    <col customWidth="1" min="3" max="3" width="26.67"/>
    <col customWidth="1" min="4" max="4" width="9.0"/>
    <col customWidth="1" min="5" max="6" width="7.44"/>
    <col customWidth="1" min="7" max="26" width="3.0"/>
    <col customWidth="1" min="27" max="42" width="3.33"/>
    <col customWidth="1" min="43" max="43" width="3.78"/>
    <col customWidth="1" min="44" max="44" width="9.33"/>
    <col customWidth="1" min="45" max="45" width="5.78"/>
    <col customWidth="1" min="46" max="46" width="13.0"/>
    <col customWidth="1" min="47" max="48" width="10.0"/>
    <col customWidth="1" min="49" max="51" width="8.89"/>
    <col customWidth="1" min="52" max="52" width="6.78"/>
    <col customWidth="1" min="53" max="53" width="5.89"/>
  </cols>
  <sheetData>
    <row r="1" ht="64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6.5" customHeight="1">
      <c r="B2" s="3"/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  <c r="AT2" s="4"/>
      <c r="AU2" s="4"/>
      <c r="AV2" s="4"/>
      <c r="AW2" s="4"/>
      <c r="AX2" s="4"/>
      <c r="AY2" s="4"/>
      <c r="AZ2" s="6"/>
    </row>
    <row r="3" ht="16.5" customHeight="1">
      <c r="B3" s="7"/>
      <c r="C3" s="8" t="s">
        <v>2</v>
      </c>
      <c r="D3" s="9" t="s">
        <v>3</v>
      </c>
      <c r="E3" s="10"/>
      <c r="F3" s="11"/>
      <c r="AQ3" s="12"/>
      <c r="AS3" s="13"/>
      <c r="AZ3" s="14"/>
    </row>
    <row r="4" ht="47.25" customHeight="1">
      <c r="B4" s="7"/>
      <c r="C4" s="8" t="s">
        <v>4</v>
      </c>
      <c r="D4" s="9" t="s">
        <v>5</v>
      </c>
      <c r="E4" s="10"/>
      <c r="F4" s="11"/>
      <c r="K4" s="15" t="s">
        <v>6</v>
      </c>
      <c r="AQ4" s="12"/>
      <c r="AS4" s="13" t="s">
        <v>7</v>
      </c>
      <c r="AX4" s="15" t="s">
        <v>8</v>
      </c>
      <c r="AZ4" s="14"/>
    </row>
    <row r="5" ht="16.5" customHeight="1">
      <c r="B5" s="7"/>
      <c r="C5" s="8" t="s">
        <v>9</v>
      </c>
      <c r="D5" s="9" t="s">
        <v>10</v>
      </c>
      <c r="E5" s="10"/>
      <c r="F5" s="11"/>
      <c r="AQ5" s="12"/>
      <c r="AU5" s="16" t="s">
        <v>11</v>
      </c>
      <c r="AV5" s="10"/>
      <c r="AW5" s="10"/>
      <c r="AX5" s="10"/>
      <c r="AY5" s="10"/>
      <c r="AZ5" s="11"/>
    </row>
    <row r="6" ht="16.5" customHeight="1">
      <c r="B6" s="7"/>
      <c r="C6" s="17" t="s">
        <v>12</v>
      </c>
      <c r="D6" s="18" t="s">
        <v>13</v>
      </c>
      <c r="E6" s="10"/>
      <c r="F6" s="11"/>
      <c r="AQ6" s="12"/>
      <c r="AU6" s="19" t="s">
        <v>14</v>
      </c>
      <c r="AV6" s="8" t="s">
        <v>15</v>
      </c>
      <c r="AW6" s="20"/>
      <c r="AX6" s="20"/>
      <c r="AY6" s="21"/>
      <c r="AZ6" s="8"/>
    </row>
    <row r="7" ht="18.75" customHeight="1">
      <c r="B7" s="7"/>
      <c r="C7" s="17" t="s">
        <v>16</v>
      </c>
      <c r="D7" s="18" t="s">
        <v>17</v>
      </c>
      <c r="E7" s="10"/>
      <c r="F7" s="11"/>
      <c r="AQ7" s="12"/>
      <c r="AT7" s="22" t="s">
        <v>18</v>
      </c>
      <c r="AU7" s="23">
        <v>0.0</v>
      </c>
      <c r="AV7" s="24" t="s">
        <v>19</v>
      </c>
      <c r="AW7" s="24"/>
      <c r="AX7" s="24"/>
      <c r="AY7" s="25"/>
      <c r="AZ7" s="24"/>
    </row>
    <row r="8" ht="16.5" customHeight="1">
      <c r="B8" s="7"/>
      <c r="C8" s="13"/>
      <c r="D8" s="26"/>
      <c r="E8" s="26"/>
      <c r="F8" s="26"/>
      <c r="AQ8" s="12"/>
      <c r="AT8" s="22" t="s">
        <v>20</v>
      </c>
      <c r="AU8" s="23">
        <f>AW14/AW16</f>
        <v>3</v>
      </c>
      <c r="AV8" s="24">
        <v>0.0</v>
      </c>
      <c r="AW8" s="24"/>
      <c r="AX8" s="24"/>
      <c r="AY8" s="25"/>
      <c r="AZ8" s="24"/>
    </row>
    <row r="9" ht="16.5" customHeight="1">
      <c r="B9" s="7"/>
      <c r="C9" s="27"/>
      <c r="D9" s="28"/>
      <c r="G9" s="16" t="s">
        <v>21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1"/>
      <c r="AQ9" s="12"/>
      <c r="AT9" s="29" t="s">
        <v>22</v>
      </c>
      <c r="AU9" s="30">
        <f>AW14/AW16*AW17</f>
        <v>6</v>
      </c>
      <c r="AV9" s="24">
        <f>SUM(AV7,AV8)*AW17</f>
        <v>0</v>
      </c>
      <c r="AW9" s="24"/>
      <c r="AX9" s="24"/>
      <c r="AY9" s="31"/>
      <c r="AZ9" s="24"/>
    </row>
    <row r="10" ht="15.75" customHeight="1">
      <c r="B10" s="32" t="s">
        <v>23</v>
      </c>
      <c r="C10" s="8" t="s">
        <v>24</v>
      </c>
      <c r="D10" s="33" t="s">
        <v>25</v>
      </c>
      <c r="E10" s="33" t="s">
        <v>26</v>
      </c>
      <c r="F10" s="33" t="s">
        <v>27</v>
      </c>
      <c r="G10" s="34">
        <v>1.0</v>
      </c>
      <c r="H10" s="34">
        <v>2.0</v>
      </c>
      <c r="I10" s="34">
        <v>3.0</v>
      </c>
      <c r="J10" s="34">
        <v>4.0</v>
      </c>
      <c r="K10" s="34">
        <v>5.0</v>
      </c>
      <c r="L10" s="34">
        <v>6.0</v>
      </c>
      <c r="M10" s="34">
        <v>7.0</v>
      </c>
      <c r="N10" s="34">
        <v>8.0</v>
      </c>
      <c r="O10" s="34">
        <v>9.0</v>
      </c>
      <c r="P10" s="34">
        <v>10.0</v>
      </c>
      <c r="Q10" s="34">
        <v>11.0</v>
      </c>
      <c r="R10" s="6">
        <v>12.0</v>
      </c>
      <c r="S10" s="34">
        <v>13.0</v>
      </c>
      <c r="T10" s="34">
        <v>14.0</v>
      </c>
      <c r="U10" s="34">
        <v>15.0</v>
      </c>
      <c r="V10" s="3">
        <v>16.0</v>
      </c>
      <c r="W10" s="35">
        <v>17.0</v>
      </c>
      <c r="X10" s="34">
        <v>18.0</v>
      </c>
      <c r="Y10" s="34">
        <v>19.0</v>
      </c>
      <c r="Z10" s="34">
        <v>20.0</v>
      </c>
      <c r="AA10" s="34">
        <v>21.0</v>
      </c>
      <c r="AB10" s="34">
        <v>22.0</v>
      </c>
      <c r="AC10" s="34">
        <v>23.0</v>
      </c>
      <c r="AD10" s="34">
        <v>24.0</v>
      </c>
      <c r="AE10" s="34">
        <v>25.0</v>
      </c>
      <c r="AF10" s="34">
        <v>26.0</v>
      </c>
      <c r="AG10" s="34">
        <v>27.0</v>
      </c>
      <c r="AH10" s="34">
        <v>28.0</v>
      </c>
      <c r="AI10" s="34">
        <v>29.0</v>
      </c>
      <c r="AJ10" s="34">
        <v>30.0</v>
      </c>
      <c r="AK10" s="34">
        <v>31.0</v>
      </c>
      <c r="AL10" s="34">
        <v>32.0</v>
      </c>
      <c r="AM10" s="34">
        <v>33.0</v>
      </c>
      <c r="AN10" s="34">
        <v>34.0</v>
      </c>
      <c r="AO10" s="34">
        <v>35.0</v>
      </c>
      <c r="AP10" s="34">
        <v>36.0</v>
      </c>
      <c r="AQ10" s="12"/>
      <c r="AT10" s="36" t="s">
        <v>28</v>
      </c>
      <c r="AU10" s="37">
        <f>AU7*AW17</f>
        <v>0</v>
      </c>
      <c r="AV10" s="38" t="s">
        <v>19</v>
      </c>
      <c r="AW10" s="38"/>
      <c r="AX10" s="38"/>
      <c r="AY10" s="39"/>
      <c r="AZ10" s="40"/>
    </row>
    <row r="11" ht="16.5" customHeight="1">
      <c r="B11" s="41"/>
      <c r="C11" s="8" t="s">
        <v>29</v>
      </c>
      <c r="D11" s="33">
        <v>0.0</v>
      </c>
      <c r="E11" s="33">
        <v>1.0</v>
      </c>
      <c r="F11" s="33" t="s">
        <v>30</v>
      </c>
      <c r="G11" s="42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4"/>
      <c r="S11" s="43"/>
      <c r="T11" s="43"/>
      <c r="U11" s="43"/>
      <c r="V11" s="45"/>
      <c r="W11" s="46"/>
      <c r="X11" s="43"/>
      <c r="Y11" s="43"/>
      <c r="Z11" s="43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12"/>
      <c r="AT11" s="47" t="s">
        <v>31</v>
      </c>
      <c r="AU11" s="48">
        <f>AU8*AW17</f>
        <v>6</v>
      </c>
      <c r="AV11" s="39">
        <f>AV8*AW17</f>
        <v>0</v>
      </c>
      <c r="AW11" s="39"/>
      <c r="AX11" s="39"/>
      <c r="AY11" s="39"/>
      <c r="AZ11" s="49"/>
    </row>
    <row r="12" ht="16.5" customHeight="1">
      <c r="B12" s="41"/>
      <c r="C12" s="8" t="s">
        <v>32</v>
      </c>
      <c r="D12" s="33">
        <f>D11+10</f>
        <v>10</v>
      </c>
      <c r="E12" s="33">
        <v>1.0</v>
      </c>
      <c r="F12" s="33" t="s">
        <v>33</v>
      </c>
      <c r="G12" s="43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44"/>
      <c r="S12" s="43"/>
      <c r="T12" s="43"/>
      <c r="U12" s="43"/>
      <c r="V12" s="45"/>
      <c r="W12" s="46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44"/>
      <c r="AI12" s="43"/>
      <c r="AJ12" s="43"/>
      <c r="AK12" s="43"/>
      <c r="AL12" s="43"/>
      <c r="AM12" s="43"/>
      <c r="AN12" s="43"/>
      <c r="AO12" s="43"/>
      <c r="AP12" s="43"/>
      <c r="AQ12" s="12"/>
      <c r="AZ12" s="14"/>
    </row>
    <row r="13" ht="16.5" customHeight="1">
      <c r="B13" s="41"/>
      <c r="C13" s="8" t="s">
        <v>34</v>
      </c>
      <c r="D13" s="33">
        <v>15.0</v>
      </c>
      <c r="E13" s="33">
        <v>1.0</v>
      </c>
      <c r="F13" s="33" t="s">
        <v>33</v>
      </c>
      <c r="G13" s="43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0"/>
      <c r="S13" s="50"/>
      <c r="T13" s="50"/>
      <c r="U13" s="50"/>
      <c r="V13" s="51"/>
      <c r="W13" s="46"/>
      <c r="X13" s="50"/>
      <c r="Y13" s="50"/>
      <c r="Z13" s="50"/>
      <c r="AA13" s="50"/>
      <c r="AB13" s="50"/>
      <c r="AC13" s="50"/>
      <c r="AD13" s="50"/>
      <c r="AE13" s="50"/>
      <c r="AF13" s="50"/>
      <c r="AG13" s="51"/>
      <c r="AH13" s="50"/>
      <c r="AI13" s="50"/>
      <c r="AJ13" s="50"/>
      <c r="AK13" s="50"/>
      <c r="AL13" s="50"/>
      <c r="AM13" s="8"/>
      <c r="AN13" s="8"/>
      <c r="AO13" s="8"/>
      <c r="AP13" s="8"/>
      <c r="AQ13" s="12"/>
      <c r="AU13" s="16" t="s">
        <v>35</v>
      </c>
      <c r="AV13" s="10"/>
      <c r="AW13" s="11"/>
      <c r="AZ13" s="14"/>
    </row>
    <row r="14" ht="16.5" customHeight="1">
      <c r="B14" s="41"/>
      <c r="C14" s="8" t="s">
        <v>36</v>
      </c>
      <c r="D14" s="33">
        <v>0.5</v>
      </c>
      <c r="E14" s="33">
        <v>1.0</v>
      </c>
      <c r="F14" s="33" t="s">
        <v>37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6"/>
      <c r="X14" s="52">
        <v>0.5</v>
      </c>
      <c r="Y14" s="43"/>
      <c r="Z14" s="43"/>
      <c r="AA14" s="43"/>
      <c r="AB14" s="43"/>
      <c r="AC14" s="43"/>
      <c r="AD14" s="43"/>
      <c r="AE14" s="43"/>
      <c r="AF14" s="8"/>
      <c r="AG14" s="8"/>
      <c r="AH14" s="8"/>
      <c r="AI14" s="8"/>
      <c r="AJ14" s="8"/>
      <c r="AK14" s="8"/>
      <c r="AL14" s="8"/>
      <c r="AM14" s="43"/>
      <c r="AN14" s="43"/>
      <c r="AO14" s="43"/>
      <c r="AP14" s="43"/>
      <c r="AQ14" s="12"/>
      <c r="AU14" s="16" t="s">
        <v>38</v>
      </c>
      <c r="AV14" s="11"/>
      <c r="AW14" s="8">
        <v>36.0</v>
      </c>
      <c r="AZ14" s="14"/>
    </row>
    <row r="15" ht="16.5" customHeight="1">
      <c r="B15" s="41"/>
      <c r="C15" s="17" t="s">
        <v>39</v>
      </c>
      <c r="D15" s="33">
        <v>1.0</v>
      </c>
      <c r="E15" s="33"/>
      <c r="F15" s="53" t="s">
        <v>40</v>
      </c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54">
        <v>1.0</v>
      </c>
      <c r="X15" s="55"/>
      <c r="Y15" s="55"/>
      <c r="Z15" s="55"/>
      <c r="AA15" s="55"/>
      <c r="AB15" s="55"/>
      <c r="AC15" s="55"/>
      <c r="AD15" s="55"/>
      <c r="AE15" s="55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8"/>
      <c r="AQ15" s="12"/>
      <c r="AU15" s="16" t="s">
        <v>41</v>
      </c>
      <c r="AV15" s="11"/>
      <c r="AW15" s="8" t="s">
        <v>19</v>
      </c>
      <c r="AZ15" s="14"/>
    </row>
    <row r="16" ht="16.5" customHeight="1">
      <c r="B16" s="41"/>
      <c r="C16" s="8" t="s">
        <v>42</v>
      </c>
      <c r="D16" s="33">
        <v>0.1</v>
      </c>
      <c r="E16" s="33">
        <v>1.0</v>
      </c>
      <c r="F16" s="33" t="s">
        <v>43</v>
      </c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56"/>
      <c r="X16" s="57"/>
      <c r="Y16" s="58"/>
      <c r="Z16" s="58"/>
      <c r="AA16" s="58"/>
      <c r="AB16" s="58"/>
      <c r="AC16" s="58"/>
      <c r="AD16" s="58"/>
      <c r="AE16" s="58"/>
      <c r="AF16" s="59"/>
      <c r="AG16" s="59"/>
      <c r="AH16" s="59"/>
      <c r="AI16" s="59"/>
      <c r="AJ16" s="59"/>
      <c r="AK16" s="59"/>
      <c r="AL16" s="59"/>
      <c r="AM16" s="59"/>
      <c r="AN16" s="59"/>
      <c r="AO16" s="60"/>
      <c r="AP16" s="61"/>
      <c r="AQ16" s="12"/>
      <c r="AU16" s="16" t="s">
        <v>44</v>
      </c>
      <c r="AV16" s="11"/>
      <c r="AW16" s="8">
        <v>12.0</v>
      </c>
      <c r="AZ16" s="14"/>
    </row>
    <row r="17" ht="16.5" customHeight="1">
      <c r="B17" s="41"/>
      <c r="C17" s="8" t="s">
        <v>45</v>
      </c>
      <c r="D17" s="33">
        <v>0.25</v>
      </c>
      <c r="E17" s="33">
        <v>2.0</v>
      </c>
      <c r="F17" s="33" t="s">
        <v>43</v>
      </c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56"/>
      <c r="X17" s="62"/>
      <c r="Y17" s="43"/>
      <c r="Z17" s="43"/>
      <c r="AA17" s="43"/>
      <c r="AB17" s="43"/>
      <c r="AC17" s="43"/>
      <c r="AD17" s="43"/>
      <c r="AE17" s="43"/>
      <c r="AF17" s="8"/>
      <c r="AG17" s="8"/>
      <c r="AH17" s="8"/>
      <c r="AI17" s="8"/>
      <c r="AJ17" s="8"/>
      <c r="AK17" s="8"/>
      <c r="AL17" s="8"/>
      <c r="AM17" s="8"/>
      <c r="AN17" s="8"/>
      <c r="AO17" s="63"/>
      <c r="AP17" s="61"/>
      <c r="AQ17" s="12"/>
      <c r="AU17" s="16" t="s">
        <v>46</v>
      </c>
      <c r="AV17" s="11"/>
      <c r="AW17" s="8">
        <v>2.0</v>
      </c>
      <c r="AZ17" s="14"/>
    </row>
    <row r="18" ht="16.5" customHeight="1">
      <c r="B18" s="41"/>
      <c r="C18" s="8" t="s">
        <v>47</v>
      </c>
      <c r="D18" s="33">
        <v>0.15</v>
      </c>
      <c r="E18" s="33">
        <v>1.0</v>
      </c>
      <c r="F18" s="33" t="s">
        <v>43</v>
      </c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56"/>
      <c r="X18" s="62"/>
      <c r="Y18" s="43"/>
      <c r="Z18" s="43"/>
      <c r="AA18" s="43"/>
      <c r="AB18" s="43"/>
      <c r="AC18" s="43"/>
      <c r="AD18" s="43"/>
      <c r="AE18" s="43"/>
      <c r="AF18" s="8"/>
      <c r="AG18" s="8"/>
      <c r="AH18" s="8"/>
      <c r="AI18" s="8"/>
      <c r="AJ18" s="8"/>
      <c r="AK18" s="8"/>
      <c r="AL18" s="8"/>
      <c r="AM18" s="8"/>
      <c r="AN18" s="8"/>
      <c r="AO18" s="63"/>
      <c r="AP18" s="61"/>
      <c r="AQ18" s="12"/>
      <c r="AZ18" s="14"/>
    </row>
    <row r="19" ht="16.5" customHeight="1">
      <c r="B19" s="41"/>
      <c r="C19" s="8" t="s">
        <v>48</v>
      </c>
      <c r="D19" s="64" t="s">
        <v>49</v>
      </c>
      <c r="E19" s="33">
        <v>2.0</v>
      </c>
      <c r="F19" s="33" t="s">
        <v>43</v>
      </c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56"/>
      <c r="X19" s="65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3"/>
      <c r="AP19" s="61"/>
      <c r="AQ19" s="12"/>
      <c r="AS19" s="67"/>
      <c r="AT19" s="67"/>
      <c r="AU19" s="67"/>
      <c r="AV19" s="67"/>
      <c r="AW19" s="67"/>
      <c r="AX19" s="67"/>
      <c r="AY19" s="67"/>
      <c r="AZ19" s="68"/>
    </row>
    <row r="20" ht="16.5" customHeight="1">
      <c r="B20" s="41"/>
      <c r="C20" s="8" t="s">
        <v>50</v>
      </c>
      <c r="D20" s="33">
        <v>0.25</v>
      </c>
      <c r="E20" s="33">
        <v>1.0</v>
      </c>
      <c r="F20" s="33" t="s">
        <v>51</v>
      </c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56"/>
      <c r="X20" s="65"/>
      <c r="Y20" s="43"/>
      <c r="Z20" s="43"/>
      <c r="AA20" s="43"/>
      <c r="AB20" s="43"/>
      <c r="AC20" s="43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69"/>
      <c r="AP20" s="44"/>
      <c r="AQ20" s="12"/>
      <c r="AS20" s="13" t="s">
        <v>52</v>
      </c>
      <c r="AX20" s="15" t="s">
        <v>53</v>
      </c>
      <c r="AZ20" s="14"/>
    </row>
    <row r="21" ht="16.5" customHeight="1">
      <c r="B21" s="41"/>
      <c r="C21" s="8" t="s">
        <v>54</v>
      </c>
      <c r="D21" s="33">
        <v>0.25</v>
      </c>
      <c r="E21" s="33">
        <v>1.0</v>
      </c>
      <c r="F21" s="33" t="s">
        <v>55</v>
      </c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56"/>
      <c r="X21" s="65"/>
      <c r="Y21" s="43"/>
      <c r="Z21" s="43"/>
      <c r="AA21" s="43"/>
      <c r="AB21" s="43"/>
      <c r="AC21" s="43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69"/>
      <c r="AP21" s="44"/>
      <c r="AQ21" s="12"/>
      <c r="AZ21" s="14"/>
    </row>
    <row r="22" ht="16.5" customHeight="1">
      <c r="B22" s="41"/>
      <c r="C22" s="8" t="s">
        <v>56</v>
      </c>
      <c r="D22" s="33">
        <v>0.15</v>
      </c>
      <c r="E22" s="33">
        <v>1.0</v>
      </c>
      <c r="F22" s="33" t="s">
        <v>43</v>
      </c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56"/>
      <c r="X22" s="70"/>
      <c r="Y22" s="71"/>
      <c r="Z22" s="71"/>
      <c r="AA22" s="71"/>
      <c r="AB22" s="71"/>
      <c r="AC22" s="71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3"/>
      <c r="AP22" s="44"/>
      <c r="AQ22" s="12"/>
      <c r="AU22" s="16" t="s">
        <v>11</v>
      </c>
      <c r="AV22" s="10"/>
      <c r="AW22" s="10"/>
      <c r="AX22" s="10"/>
      <c r="AY22" s="10"/>
      <c r="AZ22" s="11"/>
    </row>
    <row r="23" ht="16.5" customHeight="1">
      <c r="B23" s="41"/>
      <c r="C23" s="8" t="s">
        <v>57</v>
      </c>
      <c r="D23" s="33">
        <v>0.15</v>
      </c>
      <c r="E23" s="33">
        <v>1.0</v>
      </c>
      <c r="F23" s="33" t="s">
        <v>37</v>
      </c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6"/>
      <c r="X23" s="74"/>
      <c r="Y23" s="74"/>
      <c r="Z23" s="74"/>
      <c r="AA23" s="74"/>
      <c r="AB23" s="74"/>
      <c r="AC23" s="74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6"/>
      <c r="AP23" s="43"/>
      <c r="AQ23" s="12"/>
      <c r="AU23" s="19" t="s">
        <v>14</v>
      </c>
      <c r="AV23" s="8" t="s">
        <v>15</v>
      </c>
      <c r="AW23" s="20" t="s">
        <v>58</v>
      </c>
      <c r="AX23" s="20" t="s">
        <v>59</v>
      </c>
      <c r="AY23" s="19" t="s">
        <v>60</v>
      </c>
      <c r="AZ23" s="8" t="s">
        <v>61</v>
      </c>
    </row>
    <row r="24" ht="16.5" customHeight="1">
      <c r="B24" s="41"/>
      <c r="C24" s="17" t="s">
        <v>62</v>
      </c>
      <c r="D24" s="33">
        <v>1.0</v>
      </c>
      <c r="E24" s="33"/>
      <c r="F24" s="53" t="s">
        <v>40</v>
      </c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6"/>
      <c r="X24" s="43"/>
      <c r="Y24" s="43"/>
      <c r="Z24" s="43"/>
      <c r="AA24" s="43"/>
      <c r="AB24" s="43"/>
      <c r="AC24" s="43"/>
      <c r="AD24" s="8"/>
      <c r="AE24" s="8"/>
      <c r="AF24" s="8"/>
      <c r="AG24" s="8"/>
      <c r="AH24" s="8"/>
      <c r="AI24" s="43"/>
      <c r="AJ24" s="8"/>
      <c r="AK24" s="8"/>
      <c r="AL24" s="8"/>
      <c r="AM24" s="43"/>
      <c r="AN24" s="8"/>
      <c r="AO24" s="43"/>
      <c r="AP24" s="77"/>
      <c r="AQ24" s="12"/>
      <c r="AT24" s="22" t="s">
        <v>18</v>
      </c>
      <c r="AU24" s="23">
        <v>0.0</v>
      </c>
      <c r="AV24" s="24">
        <f>AW31/AW32</f>
        <v>1.222222222</v>
      </c>
      <c r="AW24" s="24">
        <f>AW31*0.6/AW32</f>
        <v>0.7333333333</v>
      </c>
      <c r="AX24" s="24">
        <f>AW31*0.5/AW32</f>
        <v>0.6111111111</v>
      </c>
      <c r="AY24" s="23">
        <f>AW31*0.4/AW32</f>
        <v>0.4888888889</v>
      </c>
      <c r="AZ24" s="24">
        <f>AW31*0.3/AW32</f>
        <v>0.3666666667</v>
      </c>
    </row>
    <row r="25" ht="16.5" customHeight="1">
      <c r="B25" s="78"/>
      <c r="C25" s="16" t="s">
        <v>63</v>
      </c>
      <c r="D25" s="10"/>
      <c r="E25" s="10"/>
      <c r="F25" s="11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5"/>
      <c r="W25" s="46"/>
      <c r="X25" s="43"/>
      <c r="Y25" s="43"/>
      <c r="Z25" s="43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12"/>
      <c r="AT25" s="22" t="s">
        <v>20</v>
      </c>
      <c r="AU25" s="23">
        <f>AW31/AW33</f>
        <v>1.833333333</v>
      </c>
      <c r="AV25" s="24">
        <v>0.0</v>
      </c>
      <c r="AW25" s="24">
        <f>AW31*0.4/AW33</f>
        <v>0.7333333333</v>
      </c>
      <c r="AX25" s="24">
        <f>AW31*0.5/AW33</f>
        <v>0.9166666667</v>
      </c>
      <c r="AY25" s="23">
        <f>AW31*0.6/AW33</f>
        <v>1.1</v>
      </c>
      <c r="AZ25" s="24">
        <f>AW31*0.7/AW33</f>
        <v>1.283333333</v>
      </c>
    </row>
    <row r="26" ht="16.5" customHeight="1">
      <c r="B26" s="79" t="s">
        <v>64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1"/>
      <c r="AQ26" s="12"/>
      <c r="AT26" s="29" t="s">
        <v>22</v>
      </c>
      <c r="AU26" s="23">
        <f>AW31/AW33*AW34</f>
        <v>5.5</v>
      </c>
      <c r="AV26" s="24">
        <f>SUM(AV24,AV25)*AW34</f>
        <v>3.666666667</v>
      </c>
      <c r="AW26" s="24">
        <f>SUM(AW24,AW25)*AW34</f>
        <v>4.4</v>
      </c>
      <c r="AX26" s="24">
        <f>SUM(AX24,AX25)*AW34</f>
        <v>4.583333333</v>
      </c>
      <c r="AY26" s="23">
        <f>SUM(AY24,AY25)*AW34</f>
        <v>4.766666667</v>
      </c>
      <c r="AZ26" s="24">
        <f>SUM(AZ24,AZ25)*AW34</f>
        <v>4.95</v>
      </c>
    </row>
    <row r="27" ht="16.5" customHeight="1">
      <c r="B27" s="7"/>
      <c r="AQ27" s="12"/>
      <c r="AT27" s="36" t="s">
        <v>28</v>
      </c>
      <c r="AU27" s="37">
        <f>AU24*AW34</f>
        <v>0</v>
      </c>
      <c r="AV27" s="38">
        <f>AV24*AW34</f>
        <v>3.666666667</v>
      </c>
      <c r="AW27" s="38">
        <f>AW24*AW34</f>
        <v>2.2</v>
      </c>
      <c r="AX27" s="38">
        <f>AX24*AW34</f>
        <v>1.833333333</v>
      </c>
      <c r="AY27" s="37">
        <f>AY24*AW34</f>
        <v>1.466666667</v>
      </c>
      <c r="AZ27" s="40">
        <f>AZ24*AW34</f>
        <v>1.1</v>
      </c>
    </row>
    <row r="28" ht="22.5" customHeight="1">
      <c r="B28" s="7"/>
      <c r="G28" s="16" t="s">
        <v>21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1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12"/>
      <c r="AT28" s="47" t="s">
        <v>31</v>
      </c>
      <c r="AU28" s="81">
        <f>AU25*AW34</f>
        <v>5.5</v>
      </c>
      <c r="AV28" s="39">
        <f>AV25*AW34</f>
        <v>0</v>
      </c>
      <c r="AW28" s="39">
        <f>AW25*AW34</f>
        <v>2.2</v>
      </c>
      <c r="AX28" s="39">
        <f>AX25*AW34</f>
        <v>2.75</v>
      </c>
      <c r="AY28" s="81">
        <f>AY25*AW34</f>
        <v>3.3</v>
      </c>
      <c r="AZ28" s="49">
        <f>AZ25*AW34</f>
        <v>3.85</v>
      </c>
    </row>
    <row r="29" ht="16.5" customHeight="1">
      <c r="B29" s="32" t="s">
        <v>65</v>
      </c>
      <c r="C29" s="8" t="s">
        <v>24</v>
      </c>
      <c r="D29" s="33" t="s">
        <v>25</v>
      </c>
      <c r="E29" s="33" t="s">
        <v>26</v>
      </c>
      <c r="F29" s="33" t="s">
        <v>27</v>
      </c>
      <c r="G29" s="34">
        <v>1.0</v>
      </c>
      <c r="H29" s="34">
        <v>2.0</v>
      </c>
      <c r="I29" s="34">
        <v>3.0</v>
      </c>
      <c r="J29" s="34">
        <v>4.0</v>
      </c>
      <c r="K29" s="34">
        <v>5.0</v>
      </c>
      <c r="L29" s="34">
        <v>6.0</v>
      </c>
      <c r="M29" s="34">
        <v>7.0</v>
      </c>
      <c r="N29" s="34">
        <v>8.0</v>
      </c>
      <c r="O29" s="34">
        <v>9.0</v>
      </c>
      <c r="P29" s="34">
        <v>10.0</v>
      </c>
      <c r="Q29" s="3">
        <v>11.0</v>
      </c>
      <c r="R29" s="35">
        <v>12.0</v>
      </c>
      <c r="S29" s="34">
        <v>13.0</v>
      </c>
      <c r="T29" s="34">
        <v>14.0</v>
      </c>
      <c r="U29" s="34">
        <v>15.0</v>
      </c>
      <c r="V29" s="34">
        <v>16.0</v>
      </c>
      <c r="W29" s="34">
        <v>17.0</v>
      </c>
      <c r="X29" s="34">
        <v>18.0</v>
      </c>
      <c r="Y29" s="34">
        <v>19.0</v>
      </c>
      <c r="Z29" s="34">
        <v>20.0</v>
      </c>
      <c r="AA29" s="34">
        <v>21.0</v>
      </c>
      <c r="AB29" s="34">
        <v>22.0</v>
      </c>
      <c r="AC29" s="34">
        <v>23.0</v>
      </c>
      <c r="AD29" s="34">
        <v>24.0</v>
      </c>
      <c r="AE29" s="34">
        <v>25.0</v>
      </c>
      <c r="AQ29" s="12"/>
      <c r="AZ29" s="14"/>
    </row>
    <row r="30" ht="16.5" customHeight="1">
      <c r="B30" s="41"/>
      <c r="C30" s="8" t="s">
        <v>29</v>
      </c>
      <c r="D30" s="33">
        <v>0.0</v>
      </c>
      <c r="E30" s="33">
        <v>1.0</v>
      </c>
      <c r="F30" s="33" t="s">
        <v>30</v>
      </c>
      <c r="G30" s="42"/>
      <c r="H30" s="43"/>
      <c r="I30" s="43"/>
      <c r="J30" s="43"/>
      <c r="K30" s="43"/>
      <c r="L30" s="43"/>
      <c r="M30" s="43"/>
      <c r="N30" s="43"/>
      <c r="O30" s="43"/>
      <c r="P30" s="43"/>
      <c r="Q30" s="45"/>
      <c r="R30" s="46"/>
      <c r="S30" s="43"/>
      <c r="T30" s="43"/>
      <c r="U30" s="43"/>
      <c r="V30" s="43"/>
      <c r="W30" s="43"/>
      <c r="X30" s="43"/>
      <c r="Y30" s="43"/>
      <c r="Z30" s="43"/>
      <c r="AA30" s="8"/>
      <c r="AB30" s="8"/>
      <c r="AC30" s="8"/>
      <c r="AD30" s="8"/>
      <c r="AE30" s="8"/>
      <c r="AQ30" s="12"/>
      <c r="AU30" s="16" t="s">
        <v>35</v>
      </c>
      <c r="AV30" s="10"/>
      <c r="AW30" s="11"/>
      <c r="AZ30" s="14"/>
    </row>
    <row r="31" ht="15.75" customHeight="1">
      <c r="B31" s="41"/>
      <c r="C31" s="8" t="s">
        <v>32</v>
      </c>
      <c r="D31" s="33">
        <f>D30+10</f>
        <v>10</v>
      </c>
      <c r="E31" s="33">
        <v>1.0</v>
      </c>
      <c r="F31" s="33" t="s">
        <v>33</v>
      </c>
      <c r="G31" s="43"/>
      <c r="H31" s="50"/>
      <c r="I31" s="50"/>
      <c r="J31" s="50"/>
      <c r="K31" s="50"/>
      <c r="L31" s="50"/>
      <c r="M31" s="50"/>
      <c r="N31" s="50"/>
      <c r="O31" s="50"/>
      <c r="P31" s="50"/>
      <c r="Q31" s="51"/>
      <c r="R31" s="46"/>
      <c r="S31" s="43"/>
      <c r="T31" s="43"/>
      <c r="U31" s="43"/>
      <c r="V31" s="43"/>
      <c r="W31" s="43"/>
      <c r="X31" s="43"/>
      <c r="Y31" s="43"/>
      <c r="Z31" s="43"/>
      <c r="AA31" s="8"/>
      <c r="AB31" s="8"/>
      <c r="AC31" s="8"/>
      <c r="AD31" s="8"/>
      <c r="AE31" s="8"/>
      <c r="AQ31" s="12"/>
      <c r="AU31" s="16" t="s">
        <v>38</v>
      </c>
      <c r="AV31" s="11"/>
      <c r="AW31" s="8">
        <v>22.0</v>
      </c>
      <c r="AZ31" s="14"/>
    </row>
    <row r="32" ht="16.5" customHeight="1">
      <c r="B32" s="41"/>
      <c r="C32" s="8" t="s">
        <v>36</v>
      </c>
      <c r="D32" s="33">
        <v>0.5</v>
      </c>
      <c r="E32" s="33">
        <v>1.0</v>
      </c>
      <c r="F32" s="33" t="s">
        <v>37</v>
      </c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5"/>
      <c r="R32" s="46"/>
      <c r="S32" s="52">
        <v>0.5</v>
      </c>
      <c r="T32" s="43"/>
      <c r="U32" s="43"/>
      <c r="V32" s="43"/>
      <c r="W32" s="43"/>
      <c r="X32" s="43"/>
      <c r="Y32" s="43"/>
      <c r="Z32" s="43"/>
      <c r="AA32" s="8"/>
      <c r="AB32" s="8"/>
      <c r="AC32" s="8"/>
      <c r="AD32" s="8"/>
      <c r="AE32" s="8"/>
      <c r="AQ32" s="12"/>
      <c r="AU32" s="16" t="s">
        <v>41</v>
      </c>
      <c r="AV32" s="11"/>
      <c r="AW32" s="8">
        <v>18.0</v>
      </c>
      <c r="AZ32" s="14"/>
    </row>
    <row r="33" ht="16.5" customHeight="1">
      <c r="B33" s="41"/>
      <c r="C33" s="17" t="s">
        <v>39</v>
      </c>
      <c r="D33" s="33">
        <v>1.0</v>
      </c>
      <c r="E33" s="33"/>
      <c r="F33" s="53" t="s">
        <v>40</v>
      </c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5"/>
      <c r="R33" s="54">
        <v>1.0</v>
      </c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43"/>
      <c r="AE33" s="8"/>
      <c r="AQ33" s="12"/>
      <c r="AU33" s="16" t="s">
        <v>44</v>
      </c>
      <c r="AV33" s="11"/>
      <c r="AW33" s="8">
        <v>12.0</v>
      </c>
      <c r="AZ33" s="14"/>
    </row>
    <row r="34" ht="16.5" customHeight="1">
      <c r="B34" s="41"/>
      <c r="C34" s="8" t="s">
        <v>42</v>
      </c>
      <c r="D34" s="33">
        <v>0.1</v>
      </c>
      <c r="E34" s="33">
        <v>1.0</v>
      </c>
      <c r="F34" s="33" t="s">
        <v>43</v>
      </c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5"/>
      <c r="R34" s="56"/>
      <c r="S34" s="57"/>
      <c r="T34" s="58"/>
      <c r="U34" s="58"/>
      <c r="V34" s="58"/>
      <c r="W34" s="58"/>
      <c r="X34" s="58"/>
      <c r="Y34" s="59"/>
      <c r="Z34" s="58"/>
      <c r="AA34" s="58"/>
      <c r="AB34" s="58"/>
      <c r="AC34" s="59"/>
      <c r="AD34" s="60"/>
      <c r="AE34" s="8"/>
      <c r="AQ34" s="12"/>
      <c r="AU34" s="16" t="s">
        <v>46</v>
      </c>
      <c r="AV34" s="11"/>
      <c r="AW34" s="8">
        <v>3.0</v>
      </c>
      <c r="AZ34" s="14"/>
    </row>
    <row r="35" ht="16.5" customHeight="1">
      <c r="B35" s="41"/>
      <c r="C35" s="8" t="s">
        <v>45</v>
      </c>
      <c r="D35" s="33">
        <v>0.25</v>
      </c>
      <c r="E35" s="33">
        <v>2.0</v>
      </c>
      <c r="F35" s="33" t="s">
        <v>43</v>
      </c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5"/>
      <c r="R35" s="56"/>
      <c r="S35" s="62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63"/>
      <c r="AE35" s="8"/>
      <c r="AQ35" s="12"/>
      <c r="AX35" s="82" t="s">
        <v>66</v>
      </c>
      <c r="AZ35" s="14"/>
      <c r="BA35" s="38"/>
    </row>
    <row r="36" ht="16.5" customHeight="1">
      <c r="B36" s="41"/>
      <c r="C36" s="8" t="s">
        <v>47</v>
      </c>
      <c r="D36" s="33">
        <v>0.15</v>
      </c>
      <c r="E36" s="33">
        <v>1.0</v>
      </c>
      <c r="F36" s="33" t="s">
        <v>43</v>
      </c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5"/>
      <c r="R36" s="56"/>
      <c r="S36" s="62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63"/>
      <c r="AE36" s="8"/>
      <c r="AQ36" s="12"/>
      <c r="AZ36" s="14"/>
      <c r="BA36" s="38"/>
    </row>
    <row r="37" ht="16.5" customHeight="1">
      <c r="B37" s="41"/>
      <c r="C37" s="8" t="s">
        <v>48</v>
      </c>
      <c r="D37" s="64" t="s">
        <v>67</v>
      </c>
      <c r="E37" s="33">
        <v>2.0</v>
      </c>
      <c r="F37" s="33" t="s">
        <v>43</v>
      </c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5"/>
      <c r="R37" s="56"/>
      <c r="S37" s="65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3"/>
      <c r="AE37" s="8"/>
      <c r="AG37" s="12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8"/>
      <c r="BA37" s="38"/>
    </row>
    <row r="38" ht="16.5" customHeight="1">
      <c r="B38" s="41"/>
      <c r="C38" s="8" t="s">
        <v>50</v>
      </c>
      <c r="D38" s="33">
        <v>0.25</v>
      </c>
      <c r="E38" s="33">
        <v>1.0</v>
      </c>
      <c r="F38" s="33" t="s">
        <v>51</v>
      </c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5"/>
      <c r="R38" s="56"/>
      <c r="S38" s="65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69"/>
      <c r="AE38" s="8"/>
      <c r="AG38" s="12"/>
      <c r="AZ38" s="14"/>
      <c r="BA38" s="38"/>
    </row>
    <row r="39" ht="16.5" customHeight="1">
      <c r="B39" s="41"/>
      <c r="C39" s="8" t="s">
        <v>54</v>
      </c>
      <c r="D39" s="33">
        <v>0.25</v>
      </c>
      <c r="E39" s="33">
        <v>1.0</v>
      </c>
      <c r="F39" s="33" t="s">
        <v>55</v>
      </c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5"/>
      <c r="R39" s="56"/>
      <c r="S39" s="65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69"/>
      <c r="AE39" s="8"/>
      <c r="AG39" s="12"/>
      <c r="AZ39" s="14"/>
    </row>
    <row r="40" ht="16.5" customHeight="1">
      <c r="B40" s="41"/>
      <c r="C40" s="8" t="s">
        <v>56</v>
      </c>
      <c r="D40" s="33">
        <v>0.15</v>
      </c>
      <c r="E40" s="33">
        <v>1.0</v>
      </c>
      <c r="F40" s="33" t="s">
        <v>43</v>
      </c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5"/>
      <c r="R40" s="56"/>
      <c r="S40" s="70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3"/>
      <c r="AE40" s="8"/>
      <c r="AG40" s="12"/>
      <c r="AZ40" s="14"/>
    </row>
    <row r="41" ht="16.5" customHeight="1">
      <c r="B41" s="41"/>
      <c r="C41" s="8" t="s">
        <v>57</v>
      </c>
      <c r="D41" s="33">
        <v>0.15</v>
      </c>
      <c r="E41" s="33">
        <v>1.0</v>
      </c>
      <c r="F41" s="33" t="s">
        <v>37</v>
      </c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5"/>
      <c r="R41" s="46"/>
      <c r="S41" s="74"/>
      <c r="T41" s="74"/>
      <c r="U41" s="74"/>
      <c r="V41" s="74"/>
      <c r="W41" s="74"/>
      <c r="X41" s="74"/>
      <c r="Y41" s="8"/>
      <c r="Z41" s="74"/>
      <c r="AA41" s="74"/>
      <c r="AB41" s="74"/>
      <c r="AC41" s="8"/>
      <c r="AD41" s="76"/>
      <c r="AE41" s="8"/>
      <c r="AG41" s="12"/>
      <c r="AZ41" s="14"/>
    </row>
    <row r="42" ht="16.5" customHeight="1">
      <c r="B42" s="41"/>
      <c r="C42" s="17" t="s">
        <v>62</v>
      </c>
      <c r="D42" s="33">
        <v>1.0</v>
      </c>
      <c r="E42" s="33"/>
      <c r="F42" s="53" t="s">
        <v>40</v>
      </c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5"/>
      <c r="R42" s="46"/>
      <c r="S42" s="43"/>
      <c r="T42" s="43"/>
      <c r="U42" s="43"/>
      <c r="V42" s="43"/>
      <c r="W42" s="43"/>
      <c r="X42" s="43"/>
      <c r="Y42" s="8"/>
      <c r="Z42" s="43"/>
      <c r="AA42" s="8"/>
      <c r="AB42" s="8"/>
      <c r="AC42" s="8"/>
      <c r="AD42" s="8"/>
      <c r="AE42" s="77"/>
      <c r="AG42" s="12"/>
      <c r="AZ42" s="14"/>
    </row>
    <row r="43" ht="16.5" customHeight="1">
      <c r="B43" s="78"/>
      <c r="C43" s="16" t="s">
        <v>68</v>
      </c>
      <c r="D43" s="10"/>
      <c r="E43" s="10"/>
      <c r="F43" s="11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5"/>
      <c r="R43" s="46"/>
      <c r="S43" s="43"/>
      <c r="T43" s="43"/>
      <c r="U43" s="43"/>
      <c r="V43" s="43"/>
      <c r="W43" s="43"/>
      <c r="X43" s="43"/>
      <c r="Y43" s="43"/>
      <c r="Z43" s="43"/>
      <c r="AA43" s="8"/>
      <c r="AB43" s="8"/>
      <c r="AC43" s="8"/>
      <c r="AD43" s="8"/>
      <c r="AE43" s="8"/>
      <c r="AG43" s="12"/>
      <c r="AZ43" s="14"/>
    </row>
    <row r="44" ht="16.5" customHeight="1">
      <c r="B44" s="83" t="s">
        <v>69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1"/>
      <c r="AF44" s="84"/>
      <c r="AG44" s="85"/>
      <c r="AH44" s="84"/>
      <c r="AI44" s="84"/>
      <c r="AJ44" s="84"/>
      <c r="AK44" s="84"/>
      <c r="AL44" s="84"/>
      <c r="AM44" s="84"/>
      <c r="AN44" s="84"/>
      <c r="AO44" s="84"/>
      <c r="AP44" s="84"/>
      <c r="AZ44" s="14"/>
    </row>
    <row r="45" ht="16.5" customHeight="1">
      <c r="B45" s="7"/>
      <c r="AG45" s="12"/>
      <c r="AZ45" s="14"/>
    </row>
    <row r="46" ht="16.5" customHeight="1">
      <c r="B46" s="7"/>
      <c r="AG46" s="12"/>
      <c r="AZ46" s="14"/>
    </row>
    <row r="47" ht="16.5" customHeight="1">
      <c r="B47" s="7"/>
      <c r="AG47" s="12"/>
      <c r="AZ47" s="14"/>
    </row>
    <row r="48" ht="16.5" customHeight="1">
      <c r="B48" s="7"/>
      <c r="AG48" s="12"/>
      <c r="AZ48" s="14"/>
    </row>
    <row r="49" ht="16.5" customHeight="1">
      <c r="B49" s="7"/>
      <c r="AG49" s="12"/>
      <c r="AZ49" s="14"/>
    </row>
    <row r="50" ht="16.5" customHeight="1">
      <c r="B50" s="7"/>
      <c r="AG50" s="12"/>
      <c r="AZ50" s="14"/>
    </row>
    <row r="51" ht="16.5" customHeight="1">
      <c r="B51" s="7"/>
      <c r="AG51" s="12"/>
      <c r="AZ51" s="14"/>
    </row>
    <row r="52" ht="16.5" customHeight="1">
      <c r="B52" s="7"/>
      <c r="AG52" s="12"/>
      <c r="AZ52" s="14"/>
    </row>
    <row r="53" ht="16.5" customHeight="1">
      <c r="B53" s="7"/>
      <c r="AG53" s="12"/>
      <c r="AZ53" s="14"/>
    </row>
    <row r="54" ht="16.5" customHeight="1">
      <c r="B54" s="7"/>
      <c r="AG54" s="12"/>
      <c r="AZ54" s="14"/>
    </row>
    <row r="55" ht="16.5" customHeight="1">
      <c r="B55" s="86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8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9"/>
    </row>
    <row r="56" ht="16.5" customHeight="1">
      <c r="AW56" s="15" t="s">
        <v>70</v>
      </c>
    </row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6">
    <mergeCell ref="D7:F7"/>
    <mergeCell ref="B10:B25"/>
    <mergeCell ref="C25:F25"/>
    <mergeCell ref="B29:B43"/>
    <mergeCell ref="C43:F43"/>
    <mergeCell ref="B1:AQ1"/>
    <mergeCell ref="D3:F3"/>
    <mergeCell ref="D4:F4"/>
    <mergeCell ref="D5:F5"/>
    <mergeCell ref="AU5:AZ5"/>
    <mergeCell ref="D6:F6"/>
    <mergeCell ref="G9:AP9"/>
    <mergeCell ref="AU17:AV17"/>
    <mergeCell ref="AU30:AW30"/>
    <mergeCell ref="AU31:AV31"/>
    <mergeCell ref="AU32:AV32"/>
    <mergeCell ref="AU33:AV33"/>
    <mergeCell ref="AU34:AV34"/>
    <mergeCell ref="AU13:AW13"/>
    <mergeCell ref="AU14:AV14"/>
    <mergeCell ref="AU15:AV15"/>
    <mergeCell ref="AU16:AV16"/>
    <mergeCell ref="AU22:AZ22"/>
    <mergeCell ref="B26:AP26"/>
    <mergeCell ref="G28:AE28"/>
    <mergeCell ref="B44:AE44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