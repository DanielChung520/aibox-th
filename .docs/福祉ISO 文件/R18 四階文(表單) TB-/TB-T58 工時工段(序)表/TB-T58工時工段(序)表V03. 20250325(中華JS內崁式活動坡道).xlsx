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ISO R18" sheetId="2" r:id="rId6"/>
  </sheets>
  <definedNames/>
  <calcPr/>
</workbook>
</file>

<file path=xl/sharedStrings.xml><?xml version="1.0" encoding="utf-8"?>
<sst xmlns="http://schemas.openxmlformats.org/spreadsheetml/2006/main" count="235" uniqueCount="111">
  <si>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</si>
  <si>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</si>
  <si>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</si>
  <si>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</si>
  <si>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</si>
  <si>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</si>
  <si>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</si>
  <si>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</si>
  <si>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</si>
  <si>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</si>
  <si>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</si>
  <si>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</si>
  <si>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</si>
  <si>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</si>
  <si>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</si>
  <si>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</si>
  <si>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</si>
  <si>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</si>
  <si>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</si>
  <si>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</si>
  <si>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</si>
  <si>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</si>
  <si>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</si>
  <si>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</si>
  <si>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</si>
  <si>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</si>
  <si>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</si>
  <si>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</si>
  <si>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</si>
  <si>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</si>
  <si>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</si>
  <si>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</si>
  <si>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</si>
  <si>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</si>
  <si>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</si>
  <si>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</si>
  <si>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</si>
  <si>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</si>
  <si>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</si>
  <si>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</si>
  <si>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</si>
  <si>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</si>
  <si>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</si>
  <si>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</si>
  <si>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</si>
  <si>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</si>
  <si>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</si>
  <si>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</si>
  <si>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</si>
  <si>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</si>
  <si>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</si>
  <si>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</si>
  <si>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</si>
  <si>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</si>
  <si>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</si>
  <si>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</si>
  <si>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</si>
  <si>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</si>
  <si>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WP-T37</t>
  </si>
  <si>
    <t>V01</t>
  </si>
  <si>
    <t>EM60X0011-中華JS內崁式斜坡板-(多量營業用5+1法規樣配置)認證車 (詳附件)</t>
  </si>
  <si>
    <t>載運輪椅車輛製程作業規範
(CMC J SPACE WAV(油車)活動式坡道)</t>
  </si>
  <si>
    <t>MM60ZX041- (生準)JS-倒車雷達+後霧燈組立(含線組)
MM60ZX021- (生準)JS-蜂鳴器+防滑帶組立(含線組)
MM60V00B1-(生準)JS-鋼索滑輪組立
MM60V00A1- (生準)JS-外斜坡板組立
MM60ZX061-(生準)JS-第三點組立</t>
  </si>
  <si>
    <t>車輛拆除作業</t>
  </si>
  <si>
    <t>拆除座椅/安全帶</t>
  </si>
  <si>
    <t>拆除內飾板/車天棚</t>
  </si>
  <si>
    <t>原廠地墊切割</t>
  </si>
  <si>
    <t>拆除電瓶/照明燈/車尾燈/後霧燈/倒車雷達/後霧燈線路</t>
  </si>
  <si>
    <t>標記車內中心線/切割區域</t>
  </si>
  <si>
    <t>拆除後保桿與切割/偏移倒車雷達</t>
  </si>
  <si>
    <t>防塵及包覆</t>
  </si>
  <si>
    <t>後橫樑切焊與安裝作業</t>
  </si>
  <si>
    <t>安裝後橫樑治具/尾門框治具</t>
  </si>
  <si>
    <t>切割後橫樑空間</t>
  </si>
  <si>
    <t>焊接後橫樑</t>
  </si>
  <si>
    <t>內斜坡切焊與安裝作業</t>
  </si>
  <si>
    <t>切割內斜坡區域</t>
  </si>
  <si>
    <t>安裝內斜坡</t>
  </si>
  <si>
    <t>焊接內斜坡支架</t>
  </si>
  <si>
    <t>車輛底盤防鏽作業</t>
  </si>
  <si>
    <t>焊接部位防鏽鍍鋅漆/車身膠/制震膠/WAX</t>
  </si>
  <si>
    <t>車輛電系安裝作業</t>
  </si>
  <si>
    <t>安裝電瓶線路</t>
  </si>
  <si>
    <t>安裝倒車雷達線路</t>
  </si>
  <si>
    <t>MM60ZX041</t>
  </si>
  <si>
    <t>安裝蜂鳴器/防滑帶/照明燈線路</t>
  </si>
  <si>
    <t>MM60ZX021</t>
  </si>
  <si>
    <t>安裝電瓶</t>
  </si>
  <si>
    <t>車輛零件安裝作業</t>
  </si>
  <si>
    <t>天棚加工</t>
  </si>
  <si>
    <t>安裝第三點/尾門緊急開關</t>
  </si>
  <si>
    <t>安裝輪椅扶手/尾門扶手/B柱扶手/原廠零件</t>
  </si>
  <si>
    <t>車內座椅/防滑帶安裝</t>
  </si>
  <si>
    <t>安裝鋁地板/內斜坡打膠/地墊黏貼/電瓶蓋</t>
  </si>
  <si>
    <t>安裝外斜坡板組/緩衝機構/防水段</t>
  </si>
  <si>
    <t>MM60V00B1</t>
  </si>
  <si>
    <t>安裝後保桿/後霧燈線路/尾燈</t>
  </si>
  <si>
    <t>安裝後保桿ABCD蓋/固定帶收納盒</t>
  </si>
  <si>
    <t>最後加工檢查作業</t>
  </si>
  <si>
    <t>輪椅區貼紙/斜坡板金鋼砂紙/輪椅人標示</t>
  </si>
  <si>
    <t>外斜坡調整</t>
  </si>
  <si>
    <t>成車內建功能與清潔</t>
  </si>
  <si>
    <t>線外加工組裝作業</t>
  </si>
  <si>
    <t>外斜坡組立</t>
  </si>
  <si>
    <t>MM60V00A1</t>
  </si>
  <si>
    <t>地墊加工</t>
  </si>
  <si>
    <t>肩部第三點加工</t>
  </si>
  <si>
    <t>MM60ZX061</t>
  </si>
  <si>
    <t>吳俊緯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</si>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</sst>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_);\(0.0\)"/>
    <numFmt numFmtId="165" formatCode="0.00_ "/>
    <numFmt numFmtId="166" formatCode="0.00_);[Red]\(0.00\)"/>
    <numFmt numFmtId="167" formatCode="yyyy/m/d"/>
  </numFmts>
  <fonts count="20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1" fillId="0" fontId="12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9.56"/>
    <col customWidth="1" min="8" max="8" width="9.67"/>
    <col customWidth="1" min="9" max="11" width="7.56"/>
    <col customWidth="1" min="12" max="12" width="4.89"/>
    <col customWidth="1" min="13" max="13" width="9.33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5.7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5.7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5.7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5.7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5.7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5.7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5.7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57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ROUNDUP(H40,0)</f>
        <v>7</v>
      </c>
      <c r="K2" s="10" t="s">
        <v>4</v>
      </c>
      <c r="L2" s="11">
        <f>ROUNDUP(H41,0)</f>
        <v>1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 t="s">
        <v>58</v>
      </c>
      <c r="D4" s="19" t="s">
        <v>8</v>
      </c>
      <c r="E4" s="18" t="s">
        <v>59</v>
      </c>
      <c r="F4" s="20" t="s">
        <v>9</v>
      </c>
      <c r="G4" s="21" t="s">
        <v>60</v>
      </c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 t="s">
        <v>61</v>
      </c>
      <c r="D5" s="15"/>
      <c r="E5" s="9"/>
      <c r="F5" s="16" t="s">
        <v>12</v>
      </c>
      <c r="G5" s="27" t="s">
        <v>62</v>
      </c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 t="s">
        <v>63</v>
      </c>
      <c r="C7" s="97" t="s">
        <v>64</v>
      </c>
      <c r="D7" s="9"/>
      <c r="E7" s="35">
        <v>30.0</v>
      </c>
      <c r="F7" s="35">
        <f t="shared" ref="F7:F38" si="1">E7*0.125</f>
        <v>3.75</v>
      </c>
      <c r="G7" s="35">
        <v>1.0</v>
      </c>
      <c r="H7" s="36">
        <f t="shared" ref="H7:H38" si="2">IF(G7=2,G7*E7*0.8,E7)+F7</f>
        <v>33.75</v>
      </c>
      <c r="I7" s="37">
        <f t="shared" ref="I7:I38" si="3">H7/$H$39</f>
        <v>0.009201513138</v>
      </c>
      <c r="J7" s="38">
        <f>SUM(H7:H13)</f>
        <v>439.875</v>
      </c>
      <c r="K7" s="39">
        <f>J7/$J$39</f>
        <v>0.1199263879</v>
      </c>
      <c r="L7" s="35" t="s">
        <v>23</v>
      </c>
      <c r="M7" s="40"/>
    </row>
    <row r="8" ht="16.5" customHeight="1">
      <c r="B8" s="28"/>
      <c r="C8" s="97" t="s">
        <v>65</v>
      </c>
      <c r="D8" s="9"/>
      <c r="E8" s="35">
        <v>81.0</v>
      </c>
      <c r="F8" s="35">
        <f t="shared" si="1"/>
        <v>10.125</v>
      </c>
      <c r="G8" s="35">
        <v>1.0</v>
      </c>
      <c r="H8" s="36">
        <f t="shared" si="2"/>
        <v>91.125</v>
      </c>
      <c r="I8" s="37">
        <f t="shared" si="3"/>
        <v>0.02484408547</v>
      </c>
      <c r="J8" s="28"/>
      <c r="K8" s="28"/>
      <c r="L8" s="35" t="s">
        <v>23</v>
      </c>
      <c r="M8" s="40"/>
    </row>
    <row r="9" ht="16.5" customHeight="1">
      <c r="B9" s="28"/>
      <c r="C9" s="97" t="s">
        <v>66</v>
      </c>
      <c r="D9" s="9"/>
      <c r="E9" s="35">
        <v>30.0</v>
      </c>
      <c r="F9" s="35">
        <f t="shared" si="1"/>
        <v>3.75</v>
      </c>
      <c r="G9" s="35">
        <v>1.0</v>
      </c>
      <c r="H9" s="36">
        <f t="shared" si="2"/>
        <v>33.75</v>
      </c>
      <c r="I9" s="37">
        <f t="shared" si="3"/>
        <v>0.009201513138</v>
      </c>
      <c r="J9" s="28"/>
      <c r="K9" s="28"/>
      <c r="L9" s="35" t="s">
        <v>23</v>
      </c>
      <c r="M9" s="40"/>
    </row>
    <row r="10" ht="34.5" customHeight="1">
      <c r="B10" s="28"/>
      <c r="C10" s="98" t="s">
        <v>67</v>
      </c>
      <c r="D10" s="9"/>
      <c r="E10" s="35">
        <v>60.0</v>
      </c>
      <c r="F10" s="35">
        <f t="shared" si="1"/>
        <v>7.5</v>
      </c>
      <c r="G10" s="35">
        <v>1.0</v>
      </c>
      <c r="H10" s="36">
        <f t="shared" si="2"/>
        <v>67.5</v>
      </c>
      <c r="I10" s="37">
        <f t="shared" si="3"/>
        <v>0.01840302628</v>
      </c>
      <c r="J10" s="28"/>
      <c r="K10" s="28"/>
      <c r="L10" s="35" t="s">
        <v>23</v>
      </c>
      <c r="M10" s="40"/>
    </row>
    <row r="11" ht="16.5" customHeight="1">
      <c r="B11" s="28"/>
      <c r="C11" s="97" t="s">
        <v>68</v>
      </c>
      <c r="D11" s="9"/>
      <c r="E11" s="35">
        <v>50.0</v>
      </c>
      <c r="F11" s="35">
        <f t="shared" si="1"/>
        <v>6.25</v>
      </c>
      <c r="G11" s="35">
        <v>1.0</v>
      </c>
      <c r="H11" s="36">
        <f t="shared" si="2"/>
        <v>56.25</v>
      </c>
      <c r="I11" s="37">
        <f t="shared" si="3"/>
        <v>0.01533585523</v>
      </c>
      <c r="J11" s="28"/>
      <c r="K11" s="28"/>
      <c r="L11" s="35" t="s">
        <v>23</v>
      </c>
      <c r="M11" s="40"/>
    </row>
    <row r="12" ht="16.5" customHeight="1">
      <c r="B12" s="28"/>
      <c r="C12" s="97" t="s">
        <v>69</v>
      </c>
      <c r="D12" s="9"/>
      <c r="E12" s="35">
        <v>100.0</v>
      </c>
      <c r="F12" s="35">
        <f t="shared" si="1"/>
        <v>12.5</v>
      </c>
      <c r="G12" s="35">
        <v>1.0</v>
      </c>
      <c r="H12" s="36">
        <f t="shared" si="2"/>
        <v>112.5</v>
      </c>
      <c r="I12" s="37">
        <f t="shared" si="3"/>
        <v>0.03067171046</v>
      </c>
      <c r="J12" s="28"/>
      <c r="K12" s="28"/>
      <c r="L12" s="35" t="s">
        <v>23</v>
      </c>
      <c r="M12" s="40"/>
    </row>
    <row r="13" ht="16.5" customHeight="1">
      <c r="B13" s="32"/>
      <c r="C13" s="97" t="s">
        <v>70</v>
      </c>
      <c r="D13" s="9"/>
      <c r="E13" s="35">
        <v>40.0</v>
      </c>
      <c r="F13" s="35">
        <f t="shared" si="1"/>
        <v>5</v>
      </c>
      <c r="G13" s="35">
        <v>1.0</v>
      </c>
      <c r="H13" s="36">
        <f t="shared" si="2"/>
        <v>45</v>
      </c>
      <c r="I13" s="37">
        <f t="shared" si="3"/>
        <v>0.01226868418</v>
      </c>
      <c r="J13" s="32"/>
      <c r="K13" s="32"/>
      <c r="L13" s="35" t="s">
        <v>23</v>
      </c>
      <c r="M13" s="40"/>
    </row>
    <row r="14" ht="16.5" customHeight="1">
      <c r="B14" s="33" t="s">
        <v>71</v>
      </c>
      <c r="C14" s="97" t="s">
        <v>72</v>
      </c>
      <c r="D14" s="9"/>
      <c r="E14" s="35">
        <v>50.0</v>
      </c>
      <c r="F14" s="35">
        <f t="shared" si="1"/>
        <v>6.25</v>
      </c>
      <c r="G14" s="35">
        <v>2.0</v>
      </c>
      <c r="H14" s="36">
        <f t="shared" si="2"/>
        <v>86.25</v>
      </c>
      <c r="I14" s="37">
        <f t="shared" si="3"/>
        <v>0.02351497802</v>
      </c>
      <c r="J14" s="41">
        <f>SUM(H14:H16)</f>
        <v>401.25</v>
      </c>
      <c r="K14" s="39">
        <f>J14/$J$39</f>
        <v>0.1093957673</v>
      </c>
      <c r="L14" s="35" t="s">
        <v>23</v>
      </c>
      <c r="M14" s="40"/>
    </row>
    <row r="15" ht="16.5" customHeight="1">
      <c r="B15" s="28"/>
      <c r="C15" s="97" t="s">
        <v>73</v>
      </c>
      <c r="D15" s="9"/>
      <c r="E15" s="35">
        <v>105.0</v>
      </c>
      <c r="F15" s="35">
        <f t="shared" si="1"/>
        <v>13.125</v>
      </c>
      <c r="G15" s="35">
        <v>1.0</v>
      </c>
      <c r="H15" s="36">
        <f t="shared" si="2"/>
        <v>118.125</v>
      </c>
      <c r="I15" s="37">
        <f t="shared" si="3"/>
        <v>0.03220529598</v>
      </c>
      <c r="J15" s="28"/>
      <c r="K15" s="28"/>
      <c r="L15" s="35" t="s">
        <v>23</v>
      </c>
      <c r="M15" s="40"/>
    </row>
    <row r="16" ht="16.5" customHeight="1">
      <c r="B16" s="32"/>
      <c r="C16" s="97" t="s">
        <v>74</v>
      </c>
      <c r="D16" s="9"/>
      <c r="E16" s="35">
        <v>175.0</v>
      </c>
      <c r="F16" s="35">
        <f t="shared" si="1"/>
        <v>21.875</v>
      </c>
      <c r="G16" s="35">
        <v>1.0</v>
      </c>
      <c r="H16" s="36">
        <f t="shared" si="2"/>
        <v>196.875</v>
      </c>
      <c r="I16" s="37">
        <f t="shared" si="3"/>
        <v>0.0536754933</v>
      </c>
      <c r="J16" s="32"/>
      <c r="K16" s="32"/>
      <c r="L16" s="35" t="s">
        <v>23</v>
      </c>
      <c r="M16" s="40"/>
    </row>
    <row r="17" ht="16.5" customHeight="1">
      <c r="B17" s="33" t="s">
        <v>75</v>
      </c>
      <c r="C17" s="97" t="s">
        <v>76</v>
      </c>
      <c r="D17" s="9"/>
      <c r="E17" s="35">
        <v>75.0</v>
      </c>
      <c r="F17" s="35">
        <f t="shared" si="1"/>
        <v>9.375</v>
      </c>
      <c r="G17" s="35">
        <v>2.0</v>
      </c>
      <c r="H17" s="36">
        <f t="shared" si="2"/>
        <v>129.375</v>
      </c>
      <c r="I17" s="37">
        <f t="shared" si="3"/>
        <v>0.03527246703</v>
      </c>
      <c r="J17" s="42">
        <f>SUM(H17:H19)</f>
        <v>456.375</v>
      </c>
      <c r="K17" s="39">
        <f>J17/$J$39</f>
        <v>0.1244249054</v>
      </c>
      <c r="L17" s="35" t="s">
        <v>23</v>
      </c>
      <c r="M17" s="40"/>
    </row>
    <row r="18" ht="16.5" customHeight="1">
      <c r="B18" s="28"/>
      <c r="C18" s="97" t="s">
        <v>77</v>
      </c>
      <c r="D18" s="9"/>
      <c r="E18" s="35">
        <v>95.0</v>
      </c>
      <c r="F18" s="35">
        <f t="shared" si="1"/>
        <v>11.875</v>
      </c>
      <c r="G18" s="35">
        <v>2.0</v>
      </c>
      <c r="H18" s="36">
        <f t="shared" si="2"/>
        <v>163.875</v>
      </c>
      <c r="I18" s="37">
        <f t="shared" si="3"/>
        <v>0.04467845824</v>
      </c>
      <c r="J18" s="28"/>
      <c r="K18" s="28"/>
      <c r="L18" s="35" t="s">
        <v>23</v>
      </c>
      <c r="M18" s="40"/>
    </row>
    <row r="19" ht="16.5" customHeight="1">
      <c r="B19" s="32"/>
      <c r="C19" s="97" t="s">
        <v>78</v>
      </c>
      <c r="D19" s="9"/>
      <c r="E19" s="35">
        <v>145.0</v>
      </c>
      <c r="F19" s="35">
        <f t="shared" si="1"/>
        <v>18.125</v>
      </c>
      <c r="G19" s="35">
        <v>1.0</v>
      </c>
      <c r="H19" s="36">
        <f t="shared" si="2"/>
        <v>163.125</v>
      </c>
      <c r="I19" s="37">
        <f t="shared" si="3"/>
        <v>0.04447398017</v>
      </c>
      <c r="J19" s="32"/>
      <c r="K19" s="32"/>
      <c r="L19" s="35" t="s">
        <v>23</v>
      </c>
      <c r="M19" s="40"/>
    </row>
    <row r="20" ht="37.5" customHeight="1">
      <c r="B20" s="43" t="s">
        <v>79</v>
      </c>
      <c r="C20" s="98" t="s">
        <v>80</v>
      </c>
      <c r="D20" s="9"/>
      <c r="E20" s="35">
        <v>135.0</v>
      </c>
      <c r="F20" s="35">
        <f t="shared" si="1"/>
        <v>16.875</v>
      </c>
      <c r="G20" s="35">
        <v>1.0</v>
      </c>
      <c r="H20" s="36">
        <f t="shared" si="2"/>
        <v>151.875</v>
      </c>
      <c r="I20" s="37">
        <f t="shared" si="3"/>
        <v>0.04140680912</v>
      </c>
      <c r="J20" s="44">
        <f>SUM(H20)</f>
        <v>151.875</v>
      </c>
      <c r="K20" s="37">
        <f t="shared" ref="K20:K21" si="4">J20/$J$39</f>
        <v>0.04140680912</v>
      </c>
      <c r="L20" s="35" t="s">
        <v>23</v>
      </c>
      <c r="M20" s="40"/>
    </row>
    <row r="21" ht="16.5" customHeight="1">
      <c r="B21" s="33" t="s">
        <v>81</v>
      </c>
      <c r="C21" s="97" t="s">
        <v>82</v>
      </c>
      <c r="D21" s="9"/>
      <c r="E21" s="35">
        <v>60.0</v>
      </c>
      <c r="F21" s="35">
        <f t="shared" si="1"/>
        <v>7.5</v>
      </c>
      <c r="G21" s="35">
        <v>1.0</v>
      </c>
      <c r="H21" s="36">
        <f t="shared" si="2"/>
        <v>67.5</v>
      </c>
      <c r="I21" s="37">
        <f t="shared" si="3"/>
        <v>0.01840302628</v>
      </c>
      <c r="J21" s="45">
        <f>SUM(H21:H24)</f>
        <v>258.75</v>
      </c>
      <c r="K21" s="39">
        <f t="shared" si="4"/>
        <v>0.07054493406</v>
      </c>
      <c r="L21" s="35" t="s">
        <v>23</v>
      </c>
      <c r="M21" s="40"/>
    </row>
    <row r="22" ht="16.5" customHeight="1">
      <c r="B22" s="28"/>
      <c r="C22" s="97" t="s">
        <v>83</v>
      </c>
      <c r="D22" s="9"/>
      <c r="E22" s="35">
        <v>85.0</v>
      </c>
      <c r="F22" s="35">
        <f t="shared" si="1"/>
        <v>10.625</v>
      </c>
      <c r="G22" s="35">
        <v>1.0</v>
      </c>
      <c r="H22" s="36">
        <f t="shared" si="2"/>
        <v>95.625</v>
      </c>
      <c r="I22" s="37">
        <f t="shared" si="3"/>
        <v>0.02607095389</v>
      </c>
      <c r="J22" s="28"/>
      <c r="K22" s="28"/>
      <c r="L22" s="35" t="s">
        <v>23</v>
      </c>
      <c r="M22" s="40" t="s">
        <v>84</v>
      </c>
    </row>
    <row r="23" ht="16.5" customHeight="1">
      <c r="B23" s="28"/>
      <c r="C23" s="97" t="s">
        <v>85</v>
      </c>
      <c r="D23" s="9"/>
      <c r="E23" s="35">
        <v>44.0</v>
      </c>
      <c r="F23" s="35">
        <f t="shared" si="1"/>
        <v>5.5</v>
      </c>
      <c r="G23" s="35">
        <v>1.0</v>
      </c>
      <c r="H23" s="36">
        <f t="shared" si="2"/>
        <v>49.5</v>
      </c>
      <c r="I23" s="37">
        <f t="shared" si="3"/>
        <v>0.0134955526</v>
      </c>
      <c r="J23" s="28"/>
      <c r="K23" s="28"/>
      <c r="L23" s="35" t="s">
        <v>23</v>
      </c>
      <c r="M23" s="40" t="s">
        <v>86</v>
      </c>
    </row>
    <row r="24" ht="16.5" customHeight="1">
      <c r="B24" s="32"/>
      <c r="C24" s="97" t="s">
        <v>87</v>
      </c>
      <c r="D24" s="9"/>
      <c r="E24" s="35">
        <v>41.0</v>
      </c>
      <c r="F24" s="35">
        <f t="shared" si="1"/>
        <v>5.125</v>
      </c>
      <c r="G24" s="35">
        <v>1.0</v>
      </c>
      <c r="H24" s="36">
        <f t="shared" si="2"/>
        <v>46.125</v>
      </c>
      <c r="I24" s="37">
        <f t="shared" si="3"/>
        <v>0.01257540129</v>
      </c>
      <c r="J24" s="32"/>
      <c r="K24" s="32"/>
      <c r="L24" s="35" t="s">
        <v>23</v>
      </c>
      <c r="M24" s="40"/>
    </row>
    <row r="25" ht="18.0" customHeight="1">
      <c r="B25" s="33" t="s">
        <v>88</v>
      </c>
      <c r="C25" s="97" t="s">
        <v>89</v>
      </c>
      <c r="D25" s="9"/>
      <c r="E25" s="35">
        <v>30.0</v>
      </c>
      <c r="F25" s="35">
        <f t="shared" si="1"/>
        <v>3.75</v>
      </c>
      <c r="G25" s="35">
        <v>2.0</v>
      </c>
      <c r="H25" s="36">
        <f t="shared" si="2"/>
        <v>51.75</v>
      </c>
      <c r="I25" s="37">
        <f t="shared" si="3"/>
        <v>0.01410898681</v>
      </c>
      <c r="J25" s="42">
        <f>SUM(H25:H32)</f>
        <v>1307.25</v>
      </c>
      <c r="K25" s="39">
        <f>J25/$J$39</f>
        <v>0.3564052755</v>
      </c>
      <c r="L25" s="35" t="s">
        <v>23</v>
      </c>
      <c r="M25" s="40"/>
    </row>
    <row r="26" ht="18.0" customHeight="1">
      <c r="B26" s="28"/>
      <c r="C26" s="97" t="s">
        <v>90</v>
      </c>
      <c r="D26" s="9"/>
      <c r="E26" s="35">
        <v>104.0</v>
      </c>
      <c r="F26" s="35">
        <f t="shared" si="1"/>
        <v>13</v>
      </c>
      <c r="G26" s="35">
        <v>1.0</v>
      </c>
      <c r="H26" s="36">
        <f t="shared" si="2"/>
        <v>117</v>
      </c>
      <c r="I26" s="37">
        <f t="shared" si="3"/>
        <v>0.03189857888</v>
      </c>
      <c r="J26" s="28"/>
      <c r="K26" s="28"/>
      <c r="L26" s="35" t="s">
        <v>23</v>
      </c>
      <c r="M26" s="40"/>
    </row>
    <row r="27" ht="18.0" customHeight="1">
      <c r="B27" s="28"/>
      <c r="C27" s="98" t="s">
        <v>91</v>
      </c>
      <c r="D27" s="9"/>
      <c r="E27" s="35">
        <v>213.0</v>
      </c>
      <c r="F27" s="35">
        <f t="shared" si="1"/>
        <v>26.625</v>
      </c>
      <c r="G27" s="35">
        <v>1.0</v>
      </c>
      <c r="H27" s="36">
        <f t="shared" si="2"/>
        <v>239.625</v>
      </c>
      <c r="I27" s="37">
        <f t="shared" si="3"/>
        <v>0.06533074328</v>
      </c>
      <c r="J27" s="28"/>
      <c r="K27" s="28"/>
      <c r="L27" s="35" t="s">
        <v>23</v>
      </c>
      <c r="M27" s="40"/>
    </row>
    <row r="28" ht="18.0" customHeight="1">
      <c r="B28" s="28"/>
      <c r="C28" s="97" t="s">
        <v>92</v>
      </c>
      <c r="D28" s="9"/>
      <c r="E28" s="35">
        <v>45.0</v>
      </c>
      <c r="F28" s="35">
        <f t="shared" si="1"/>
        <v>5.625</v>
      </c>
      <c r="G28" s="35">
        <v>2.0</v>
      </c>
      <c r="H28" s="36">
        <f t="shared" si="2"/>
        <v>77.625</v>
      </c>
      <c r="I28" s="37">
        <f t="shared" si="3"/>
        <v>0.02116348022</v>
      </c>
      <c r="J28" s="28"/>
      <c r="K28" s="28"/>
      <c r="L28" s="35" t="s">
        <v>23</v>
      </c>
      <c r="M28" s="40"/>
    </row>
    <row r="29" ht="18.0" customHeight="1">
      <c r="B29" s="28"/>
      <c r="C29" s="98" t="s">
        <v>93</v>
      </c>
      <c r="D29" s="9"/>
      <c r="E29" s="35">
        <v>180.0</v>
      </c>
      <c r="F29" s="35">
        <f t="shared" si="1"/>
        <v>22.5</v>
      </c>
      <c r="G29" s="35">
        <v>1.0</v>
      </c>
      <c r="H29" s="36">
        <f t="shared" si="2"/>
        <v>202.5</v>
      </c>
      <c r="I29" s="37">
        <f t="shared" si="3"/>
        <v>0.05520907883</v>
      </c>
      <c r="J29" s="28"/>
      <c r="K29" s="28"/>
      <c r="L29" s="35" t="s">
        <v>23</v>
      </c>
      <c r="M29" s="40"/>
    </row>
    <row r="30" ht="18.0" customHeight="1">
      <c r="B30" s="28"/>
      <c r="C30" s="97" t="s">
        <v>94</v>
      </c>
      <c r="D30" s="9"/>
      <c r="E30" s="35">
        <v>385.0</v>
      </c>
      <c r="F30" s="35">
        <f t="shared" si="1"/>
        <v>48.125</v>
      </c>
      <c r="G30" s="35">
        <v>1.0</v>
      </c>
      <c r="H30" s="36">
        <f t="shared" si="2"/>
        <v>433.125</v>
      </c>
      <c r="I30" s="37">
        <f t="shared" si="3"/>
        <v>0.1180860853</v>
      </c>
      <c r="J30" s="28"/>
      <c r="K30" s="28"/>
      <c r="L30" s="35" t="s">
        <v>23</v>
      </c>
      <c r="M30" s="40" t="s">
        <v>95</v>
      </c>
    </row>
    <row r="31" ht="18.0" customHeight="1">
      <c r="B31" s="28"/>
      <c r="C31" s="97" t="s">
        <v>96</v>
      </c>
      <c r="D31" s="9"/>
      <c r="E31" s="35">
        <v>70.0</v>
      </c>
      <c r="F31" s="35">
        <f t="shared" si="1"/>
        <v>8.75</v>
      </c>
      <c r="G31" s="35">
        <v>1.0</v>
      </c>
      <c r="H31" s="36">
        <f t="shared" si="2"/>
        <v>78.75</v>
      </c>
      <c r="I31" s="37">
        <f t="shared" si="3"/>
        <v>0.02147019732</v>
      </c>
      <c r="J31" s="28"/>
      <c r="K31" s="28"/>
      <c r="L31" s="35" t="s">
        <v>23</v>
      </c>
      <c r="M31" s="40"/>
    </row>
    <row r="32" ht="18.0" customHeight="1">
      <c r="B32" s="28"/>
      <c r="C32" s="97" t="s">
        <v>97</v>
      </c>
      <c r="D32" s="9"/>
      <c r="E32" s="46">
        <v>95.0</v>
      </c>
      <c r="F32" s="35">
        <f t="shared" si="1"/>
        <v>11.875</v>
      </c>
      <c r="G32" s="35">
        <v>1.0</v>
      </c>
      <c r="H32" s="36">
        <f t="shared" si="2"/>
        <v>106.875</v>
      </c>
      <c r="I32" s="37">
        <f t="shared" si="3"/>
        <v>0.02913812494</v>
      </c>
      <c r="J32" s="32"/>
      <c r="K32" s="32"/>
      <c r="L32" s="35" t="s">
        <v>23</v>
      </c>
      <c r="M32" s="40"/>
    </row>
    <row r="33" ht="18.0" customHeight="1">
      <c r="B33" s="33" t="s">
        <v>98</v>
      </c>
      <c r="C33" s="98" t="s">
        <v>99</v>
      </c>
      <c r="D33" s="9"/>
      <c r="E33" s="35">
        <v>120.0</v>
      </c>
      <c r="F33" s="35">
        <f t="shared" si="1"/>
        <v>15</v>
      </c>
      <c r="G33" s="35">
        <v>1.0</v>
      </c>
      <c r="H33" s="36">
        <f t="shared" si="2"/>
        <v>135</v>
      </c>
      <c r="I33" s="37">
        <f t="shared" si="3"/>
        <v>0.03680605255</v>
      </c>
      <c r="J33" s="42">
        <f>SUM(H33:H35)</f>
        <v>219.375</v>
      </c>
      <c r="K33" s="39">
        <f>J33/$J$39</f>
        <v>0.0598098354</v>
      </c>
      <c r="L33" s="35" t="s">
        <v>23</v>
      </c>
      <c r="M33" s="40"/>
    </row>
    <row r="34" ht="18.0" customHeight="1">
      <c r="B34" s="28"/>
      <c r="C34" s="97" t="s">
        <v>100</v>
      </c>
      <c r="D34" s="9"/>
      <c r="E34" s="35">
        <v>50.0</v>
      </c>
      <c r="F34" s="35">
        <f t="shared" si="1"/>
        <v>6.25</v>
      </c>
      <c r="G34" s="35">
        <v>1.0</v>
      </c>
      <c r="H34" s="36">
        <f t="shared" si="2"/>
        <v>56.25</v>
      </c>
      <c r="I34" s="37">
        <f t="shared" si="3"/>
        <v>0.01533585523</v>
      </c>
      <c r="J34" s="28"/>
      <c r="K34" s="28"/>
      <c r="L34" s="35" t="s">
        <v>23</v>
      </c>
      <c r="M34" s="40"/>
    </row>
    <row r="35" ht="18.0" customHeight="1">
      <c r="B35" s="32"/>
      <c r="C35" s="97" t="s">
        <v>101</v>
      </c>
      <c r="D35" s="9"/>
      <c r="E35" s="35">
        <v>25.0</v>
      </c>
      <c r="F35" s="35">
        <f t="shared" si="1"/>
        <v>3.125</v>
      </c>
      <c r="G35" s="35">
        <v>1.0</v>
      </c>
      <c r="H35" s="36">
        <f t="shared" si="2"/>
        <v>28.125</v>
      </c>
      <c r="I35" s="37">
        <f t="shared" si="3"/>
        <v>0.007667927615</v>
      </c>
      <c r="J35" s="32"/>
      <c r="K35" s="32"/>
      <c r="L35" s="35" t="s">
        <v>23</v>
      </c>
      <c r="M35" s="40"/>
    </row>
    <row r="36" ht="16.5" customHeight="1">
      <c r="B36" s="33" t="s">
        <v>102</v>
      </c>
      <c r="C36" s="97" t="s">
        <v>103</v>
      </c>
      <c r="D36" s="9"/>
      <c r="E36" s="35">
        <v>165.0</v>
      </c>
      <c r="F36" s="35">
        <f t="shared" si="1"/>
        <v>20.625</v>
      </c>
      <c r="G36" s="35">
        <v>1.0</v>
      </c>
      <c r="H36" s="36">
        <f t="shared" si="2"/>
        <v>185.625</v>
      </c>
      <c r="I36" s="37">
        <f t="shared" si="3"/>
        <v>0.05060832226</v>
      </c>
      <c r="J36" s="42">
        <f>SUM(H36:H38)</f>
        <v>433.125</v>
      </c>
      <c r="K36" s="39">
        <f>J36/$J$39</f>
        <v>0.1180860853</v>
      </c>
      <c r="L36" s="35" t="s">
        <v>23</v>
      </c>
      <c r="M36" s="40" t="s">
        <v>104</v>
      </c>
    </row>
    <row r="37" ht="16.5" customHeight="1">
      <c r="B37" s="28"/>
      <c r="C37" s="97" t="s">
        <v>105</v>
      </c>
      <c r="D37" s="9"/>
      <c r="E37" s="35">
        <v>180.0</v>
      </c>
      <c r="F37" s="35">
        <f t="shared" si="1"/>
        <v>22.5</v>
      </c>
      <c r="G37" s="35">
        <v>1.0</v>
      </c>
      <c r="H37" s="36">
        <f t="shared" si="2"/>
        <v>202.5</v>
      </c>
      <c r="I37" s="37">
        <f t="shared" si="3"/>
        <v>0.05520907883</v>
      </c>
      <c r="J37" s="28"/>
      <c r="K37" s="28"/>
      <c r="L37" s="35" t="s">
        <v>23</v>
      </c>
      <c r="M37" s="40"/>
    </row>
    <row r="38" ht="16.5" customHeight="1">
      <c r="B38" s="28"/>
      <c r="C38" s="99" t="s">
        <v>106</v>
      </c>
      <c r="D38" s="48"/>
      <c r="E38" s="49">
        <v>40.0</v>
      </c>
      <c r="F38" s="49">
        <f t="shared" si="1"/>
        <v>5</v>
      </c>
      <c r="G38" s="49">
        <v>1.0</v>
      </c>
      <c r="H38" s="36">
        <f t="shared" si="2"/>
        <v>45</v>
      </c>
      <c r="I38" s="39">
        <f t="shared" si="3"/>
        <v>0.01226868418</v>
      </c>
      <c r="J38" s="50"/>
      <c r="K38" s="50"/>
      <c r="L38" s="49" t="s">
        <v>23</v>
      </c>
      <c r="M38" s="51" t="s">
        <v>107</v>
      </c>
    </row>
    <row r="39" ht="26.25" customHeight="1">
      <c r="B39" s="52" t="s">
        <v>24</v>
      </c>
      <c r="C39" s="53"/>
      <c r="D39" s="54"/>
      <c r="E39" s="55">
        <f t="shared" ref="E39:F39" si="5">SUM(E7:E38)</f>
        <v>3103</v>
      </c>
      <c r="F39" s="56">
        <f t="shared" si="5"/>
        <v>387.875</v>
      </c>
      <c r="G39" s="57" t="s">
        <v>25</v>
      </c>
      <c r="H39" s="58">
        <f t="shared" ref="H39:K39" si="6">SUM(H7:H38)</f>
        <v>3667.875</v>
      </c>
      <c r="I39" s="59">
        <f t="shared" si="6"/>
        <v>1</v>
      </c>
      <c r="J39" s="60">
        <f t="shared" si="6"/>
        <v>3667.875</v>
      </c>
      <c r="K39" s="59">
        <f t="shared" si="6"/>
        <v>1</v>
      </c>
      <c r="L39" s="61"/>
      <c r="M39" s="62"/>
    </row>
    <row r="40" ht="15.75" customHeight="1">
      <c r="B40" s="63" t="s">
        <v>26</v>
      </c>
      <c r="C40" s="64"/>
      <c r="D40" s="48"/>
      <c r="E40" s="65">
        <f t="shared" ref="E40:F40" si="7">E39/60/7.5</f>
        <v>6.895555556</v>
      </c>
      <c r="F40" s="65">
        <f t="shared" si="7"/>
        <v>0.8619444444</v>
      </c>
      <c r="G40" s="66" t="s">
        <v>27</v>
      </c>
      <c r="H40" s="66">
        <f>(SUM(H7:H35)/60)/8</f>
        <v>6.7390625</v>
      </c>
      <c r="I40" s="28"/>
      <c r="J40" s="41">
        <f>(J39/60)/8</f>
        <v>7.64140625</v>
      </c>
      <c r="K40" s="28"/>
      <c r="M40" s="67"/>
    </row>
    <row r="41" ht="15.7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0.90234375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 t="s">
        <v>108</v>
      </c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>
        <v>45728.0</v>
      </c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5.7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5.7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5.75" customHeight="1">
      <c r="B50" s="91" t="s">
        <v>109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5.7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5.75" customHeight="1">
      <c r="B52" s="91" t="s">
        <v>110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