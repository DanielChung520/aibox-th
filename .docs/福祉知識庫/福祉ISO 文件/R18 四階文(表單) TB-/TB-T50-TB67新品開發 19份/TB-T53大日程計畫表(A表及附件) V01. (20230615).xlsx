
<file path=[Content_Types].xml><?xml version="1.0" encoding="utf-8"?>
<Types xmlns="http://schemas.openxmlformats.org/package/2006/content-types">
  <Default ContentType="image/jpeg" Extension="jpg"/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開發計畫表(封面)" sheetId="1" r:id="rId5"/>
    <sheet state="visible" name="A表-大日程計畫表(橫展跨部版)" sheetId="2" r:id="rId6"/>
    <sheet state="visible" name="A表-附件-產品開發計畫" sheetId="3" r:id="rId7"/>
    <sheet state="visible" name="A表-附件-預算" sheetId="4" r:id="rId8"/>
    <sheet state="visible" name="A表-附件-MSRP售價推估" sheetId="5" r:id="rId9"/>
  </sheets>
  <definedNames>
    <definedName name="__123Graph_LBL_C投資推移">#REF!</definedName>
    <definedName name="__123Graph_A投資推移">#REF!</definedName>
    <definedName name="철구사업본부">#REF!</definedName>
    <definedName name="CTS">#REF!</definedName>
    <definedName localSheetId="3" name="cc">#REF!</definedName>
    <definedName localSheetId="3" name="graph">#REF!</definedName>
    <definedName name="__123Graph_LBL_A投資推移">#REF!</definedName>
    <definedName localSheetId="3" name="__123Graph_C投資推移">#REF!</definedName>
    <definedName name="Print_Area_MI">#REF!</definedName>
    <definedName name="饿">#REF!</definedName>
    <definedName localSheetId="3" name="前期">#REF!</definedName>
    <definedName name="전">#REF!</definedName>
    <definedName localSheetId="1" name="Print_Area_MI">#REF!</definedName>
    <definedName localSheetId="3" name="Print_Area_MI">#REF!</definedName>
    <definedName name="cc">#REF!</definedName>
    <definedName localSheetId="3" name="pp">#REF!</definedName>
    <definedName name="qq">#REF!</definedName>
    <definedName localSheetId="1" name="__123Graph_A投資推移">#REF!</definedName>
    <definedName name="哦">#REF!</definedName>
    <definedName name="__123Graph_C投資推移">#REF!</definedName>
    <definedName localSheetId="3" name="dd">#REF!</definedName>
    <definedName localSheetId="3" name="__123Graph_LBL_D投資推移">#REF!</definedName>
    <definedName name="graph">#REF!</definedName>
    <definedName name="资金预测3">#REF!</definedName>
    <definedName localSheetId="3" name="bb">#REF!</definedName>
    <definedName localSheetId="3" name="__123Graph_LBL_A投資推移">#REF!</definedName>
    <definedName localSheetId="3" name="__123Graph_LBL_C投資推移">#REF!</definedName>
    <definedName name="dd">#REF!</definedName>
    <definedName name="Hello">#REF!</definedName>
    <definedName name="wrn.pp.">#REF!</definedName>
    <definedName localSheetId="3" name="哦">#REF!</definedName>
    <definedName name="bb">#REF!</definedName>
    <definedName localSheetId="3" name="wrn.pp.">#REF!</definedName>
    <definedName localSheetId="3" name="_Fill">#REF!</definedName>
    <definedName name="_Key1">#REF!</definedName>
    <definedName name="gg">#REF!</definedName>
    <definedName localSheetId="3" name="资金预测3">#REF!</definedName>
    <definedName localSheetId="1" name="CTS">#REF!</definedName>
    <definedName name="__123Graph_LBL_D投資推移">#REF!</definedName>
    <definedName name="_Fill">#REF!</definedName>
    <definedName name="qwe">#REF!</definedName>
    <definedName localSheetId="3" name="gg">#REF!</definedName>
    <definedName name="ww">#REF!</definedName>
    <definedName name="주택사업본부">#REF!</definedName>
    <definedName localSheetId="3" name="CTS">#REF!</definedName>
    <definedName localSheetId="3" name="__123Graph_A投資推移">#REF!</definedName>
    <definedName localSheetId="3" name="ww">#REF!</definedName>
    <definedName localSheetId="3" name="qq">#REF!</definedName>
    <definedName name="前期">#REF!</definedName>
    <definedName localSheetId="3" name="qwe">#REF!</definedName>
    <definedName localSheetId="3" name="_Key1">#REF!</definedName>
    <definedName name="pp">#REF!</definedName>
  </definedNames>
  <calcPr/>
</workbook>
</file>

<file path=xl/sharedStrings.xml><?xml version="1.0" encoding="utf-8"?>
<sst xmlns="http://schemas.openxmlformats.org/spreadsheetml/2006/main" count="527" uniqueCount="322">
  <si>
    <r>
      <rPr>
        <rFont val="Calibri"/>
        <b/>
        <color theme="1"/>
        <sz val="18.0"/>
        <u/>
      </rPr>
      <t xml:space="preserve">             </t>
    </r>
    <r>
      <rPr>
        <rFont val="Calibri"/>
        <b/>
        <color theme="1"/>
        <sz val="18.0"/>
        <u/>
      </rPr>
      <t xml:space="preserve"> Caddy California </t>
    </r>
    <r>
      <rPr>
        <rFont val="微軟正黑體"/>
        <b/>
        <color theme="1"/>
        <sz val="18.0"/>
        <u/>
      </rPr>
      <t>露營車</t>
    </r>
    <r>
      <rPr>
        <rFont val="Calibri"/>
        <b/>
        <color theme="1"/>
        <sz val="18.0"/>
        <u/>
      </rPr>
      <t xml:space="preserve"> </t>
    </r>
    <r>
      <rPr>
        <rFont val="標楷體"/>
        <b/>
        <color theme="1"/>
        <sz val="18.0"/>
        <u/>
      </rPr>
      <t>多量認證車</t>
    </r>
    <r>
      <rPr>
        <rFont val="Calibri"/>
        <b/>
        <color theme="1"/>
        <sz val="18.0"/>
        <u/>
      </rPr>
      <t xml:space="preserve"> </t>
    </r>
    <r>
      <rPr>
        <rFont val="標楷體"/>
        <b/>
        <color theme="1"/>
        <sz val="18.0"/>
        <u/>
      </rPr>
      <t>開發計畫表</t>
    </r>
  </si>
  <si>
    <r>
      <rPr>
        <rFont val="標楷體"/>
        <color theme="1"/>
        <sz val="12.0"/>
      </rPr>
      <t>主擔當</t>
    </r>
  </si>
  <si>
    <t>產品部 郭文宗</t>
  </si>
  <si>
    <r>
      <rPr>
        <rFont val="標楷體"/>
        <color theme="1"/>
        <sz val="12.0"/>
      </rPr>
      <t>專案成員</t>
    </r>
  </si>
  <si>
    <t>產品部 江冠毅、林保伶、黃德生</t>
  </si>
  <si>
    <r>
      <rPr>
        <rFont val="標楷體"/>
        <color theme="1"/>
        <sz val="12.0"/>
      </rPr>
      <t>對象車</t>
    </r>
  </si>
  <si>
    <t>2023款 Caddy California 露營車</t>
  </si>
  <si>
    <r>
      <rPr>
        <rFont val="標楷體"/>
        <color theme="1"/>
        <sz val="12.0"/>
      </rPr>
      <t>產品類型</t>
    </r>
  </si>
  <si>
    <t>掀頂帳設計</t>
  </si>
  <si>
    <r>
      <rPr>
        <rFont val="標楷體"/>
        <color theme="1"/>
        <sz val="12.0"/>
      </rPr>
      <t>營業需求</t>
    </r>
  </si>
  <si>
    <t>150 台/年</t>
  </si>
  <si>
    <t>開發案代號</t>
  </si>
  <si>
    <t>2308CDR01 (若 GM 通過，可使用此專案代號)</t>
  </si>
  <si>
    <r>
      <rPr>
        <rFont val="標楷體"/>
        <color theme="1"/>
        <sz val="12.0"/>
      </rPr>
      <t>專案目標</t>
    </r>
  </si>
  <si>
    <t>2024/Q3 量產移行完成</t>
  </si>
  <si>
    <t>項次</t>
  </si>
  <si>
    <t>項目</t>
  </si>
  <si>
    <t>需要與否</t>
  </si>
  <si>
    <t>主擔當</t>
  </si>
  <si>
    <t>預計
完成日</t>
  </si>
  <si>
    <t>技術可行性評估報告</t>
  </si>
  <si>
    <t>○</t>
  </si>
  <si>
    <t>小郭</t>
  </si>
  <si>
    <t>工程規格(初步設計)</t>
  </si>
  <si>
    <t>產品規格</t>
  </si>
  <si>
    <r>
      <rPr>
        <rFont val="微軟正黑體"/>
        <color theme="1"/>
        <sz val="10.0"/>
      </rPr>
      <t>舊款BOM表參照</t>
    </r>
  </si>
  <si>
    <t>×</t>
  </si>
  <si>
    <r>
      <rPr>
        <rFont val="微軟正黑體"/>
        <color theme="1"/>
        <sz val="10.0"/>
      </rPr>
      <t>配置圖面(含尺寸)</t>
    </r>
  </si>
  <si>
    <r>
      <rPr>
        <rFont val="微軟正黑體"/>
        <color theme="1"/>
        <sz val="10.0"/>
      </rPr>
      <t>工程圖面(含尺寸)</t>
    </r>
  </si>
  <si>
    <r>
      <rPr>
        <rFont val="微軟正黑體"/>
        <color theme="1"/>
        <sz val="10.0"/>
      </rPr>
      <t>大日程計畫表(A表)</t>
    </r>
    <r>
      <rPr>
        <rFont val="微軟正黑體"/>
        <color theme="1"/>
        <sz val="12.0"/>
      </rPr>
      <t xml:space="preserve">
含(跨部橫展計畫、產品開發計劃、預算、MSRP售價推估)</t>
    </r>
  </si>
  <si>
    <r>
      <rPr>
        <rFont val="微軟正黑體"/>
        <color theme="1"/>
        <sz val="10.0"/>
      </rPr>
      <t>新材料開發計畫表(B表)</t>
    </r>
  </si>
  <si>
    <r>
      <rPr>
        <rFont val="微軟正黑體"/>
        <color theme="1"/>
        <sz val="10.0"/>
      </rPr>
      <t>模治具開發計畫(C表)</t>
    </r>
  </si>
  <si>
    <r>
      <rPr>
        <rFont val="微軟正黑體"/>
        <color theme="1"/>
        <sz val="10.0"/>
      </rPr>
      <t>品質技術保證計畫(D表)</t>
    </r>
  </si>
  <si>
    <t>思凱</t>
  </si>
  <si>
    <t>備註：</t>
  </si>
  <si>
    <t>業務行銷部</t>
  </si>
  <si>
    <t>產品研發部</t>
  </si>
  <si>
    <t>品質保證部</t>
  </si>
  <si>
    <t>生產製造部</t>
  </si>
  <si>
    <t>管理行政部</t>
  </si>
  <si>
    <t>核  准</t>
  </si>
  <si>
    <t>審  核</t>
  </si>
  <si>
    <t>作  成</t>
  </si>
  <si>
    <t>郭文宗</t>
  </si>
  <si>
    <t>112/06/15 V01.TB-T53-0</t>
  </si>
  <si>
    <t xml:space="preserve">
</t>
  </si>
  <si>
    <t>台灣福祉科技有限公司  CENTRAL TRANSACTION SERVICES CO., LTD.
【小型特種車(露營車)】大日程計畫表 （A表）</t>
  </si>
  <si>
    <t>專案
核決</t>
  </si>
  <si>
    <t>專案
審查</t>
  </si>
  <si>
    <t>專案
經理</t>
  </si>
  <si>
    <t>專案
成員</t>
  </si>
  <si>
    <t>目標計畫</t>
  </si>
  <si>
    <t>小型特種車(露營車) 高價市場 Caddy California 產品上市</t>
  </si>
  <si>
    <t>方針</t>
  </si>
  <si>
    <t>露營車高價市場測試</t>
  </si>
  <si>
    <t>產品研發Policy</t>
  </si>
  <si>
    <t>低於 200萬售價 的 價格帶</t>
  </si>
  <si>
    <t>地點</t>
  </si>
  <si>
    <t>樹八廠</t>
  </si>
  <si>
    <t>版本</t>
  </si>
  <si>
    <t>2022.06.13</t>
  </si>
  <si>
    <t>企業循環- 階段-任務</t>
  </si>
  <si>
    <t>是否
執行</t>
  </si>
  <si>
    <t>是否
完成</t>
  </si>
  <si>
    <t>產出物(Artifacts)</t>
  </si>
  <si>
    <t>工時估算</t>
  </si>
  <si>
    <t>責任部門</t>
  </si>
  <si>
    <t>責任者</t>
  </si>
  <si>
    <t>Gate 1: 資本支出 簽核通過 及 車到啟動本案</t>
  </si>
  <si>
    <t>天數</t>
  </si>
  <si>
    <t>人數</t>
  </si>
  <si>
    <t>人天數</t>
  </si>
  <si>
    <t>W1</t>
  </si>
  <si>
    <t>W2</t>
  </si>
  <si>
    <t>W3</t>
  </si>
  <si>
    <t>W4</t>
  </si>
  <si>
    <t>Kick-off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</si>
  <si>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</si>
  <si>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</si>
  <si>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</si>
  <si>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</si>
  <si>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</si>
  <si>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</si>
  <si>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</si>
  <si>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</si>
  <si>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</si>
  <si>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</si>
  <si>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</si>
  <si>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</si>
  <si>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</si>
  <si>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</si>
  <si>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</si>
  <si>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</si>
  <si>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</si>
  <si>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</si>
  <si>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</si>
  <si>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</si>
  <si>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</si>
  <si>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</si>
  <si>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</si>
  <si>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</si>
  <si>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</si>
  <si>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</si>
  <si>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</si>
  <si>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</si>
  <si>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</si>
  <si>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</si>
  <si>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</si>
  <si>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</si>
  <si>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</si>
  <si>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</si>
  <si>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</si>
  <si>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</si>
  <si>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</si>
  <si>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</si>
  <si>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</si>
  <si>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</si>
  <si>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GATE 0: 評審(報價許可)</t>
  </si>
  <si>
    <t>■</t>
  </si>
  <si>
    <t>□</t>
  </si>
  <si>
    <t>TB-P02 跨部簽核 (含 附件)</t>
  </si>
  <si>
    <t>董事長室</t>
  </si>
  <si>
    <t>GM</t>
  </si>
  <si>
    <t xml:space="preserve">GATE 1: 評審(資本支出許可) </t>
  </si>
  <si>
    <t>1. TB-T97 正式成案 (含 TB-T02 及  附件)
2. (通過後)專案財務開帳</t>
  </si>
  <si>
    <t>總經理</t>
  </si>
  <si>
    <t>▲</t>
  </si>
  <si>
    <t>②認證車設計 (反向工程)</t>
  </si>
  <si>
    <t>掀頂改高總成 (含 車頂內裝) FRP 開模設計及委製</t>
  </si>
  <si>
    <t>產品工程師</t>
  </si>
  <si>
    <t>建立 產品結構 (試製品) P-BOM</t>
  </si>
  <si>
    <t>③採購委製零組件</t>
  </si>
  <si>
    <t>採購 原廠車輛 (2023年款-Caddy California)</t>
  </si>
  <si>
    <t>研發採購</t>
  </si>
  <si>
    <t>車到日</t>
  </si>
  <si>
    <t>委製 料件- 掀頂改高總成 (含 車頂內裝)</t>
  </si>
  <si>
    <t>▲車到日</t>
  </si>
  <si>
    <t>▲車到日+1個月</t>
  </si>
  <si>
    <t>④打造認證車</t>
  </si>
  <si>
    <t>產品工程開發計畫，詳：A表-附件-產品工程開發計畫</t>
  </si>
  <si>
    <t>打造結果品質確認及廠內產品測試</t>
  </si>
  <si>
    <t xml:space="preserve">⑤發展ISO各階文件 </t>
  </si>
  <si>
    <t>製作 WP-T2X Caddy California 小型特種車(露營車) 製程規範</t>
  </si>
  <si>
    <t>製作 TB-T05 Caddy California  小型特種車(露營車) 自主檢查表 (60%委外)</t>
  </si>
  <si>
    <t>製作 TB-T0X Caddy California   掀頂改高總成檢查表</t>
  </si>
  <si>
    <t>製作 TB-T04Caddy California  小型特種車(露營車) 成品檢查表</t>
  </si>
  <si>
    <t>品管工程師</t>
  </si>
  <si>
    <t>製作 WC-T11 檢驗作業規範-小型特種車(露營車)</t>
  </si>
  <si>
    <t>更新 ISO 一二階文件 及 對焦 VSCC 輸出文件</t>
  </si>
  <si>
    <t>EAG</t>
  </si>
  <si>
    <t>⑦原廠確認打造工法及原廠測試</t>
  </si>
  <si>
    <t>拖車物流</t>
  </si>
  <si>
    <t>原廠測試及NG反修</t>
  </si>
  <si>
    <t>⑥能力證明並獲得授權書</t>
  </si>
  <si>
    <t>授權書</t>
  </si>
  <si>
    <t>產品法規</t>
  </si>
  <si>
    <t>⑨ROUND 1:登錄車身打造廠打造該車型資格(4-8週)</t>
  </si>
  <si>
    <t>申請者資格變更登錄(新車型登錄)
品質一致性管制計畫書審查
工廠查核作業</t>
  </si>
  <si>
    <t>Gate 2: 二階段關卡評審 (原型產品)</t>
  </si>
  <si>
    <t>1.通過法規檢測之原型產品
2.產品計畫 (A、B、C、D) 四表 [更新版]
3.財務料帳結算 [更新版]
4.第一次 (跨部會) 產品說明會 [聽取反饋建議]
5.試製品P-BOM表建立</t>
  </si>
  <si>
    <t>⑩ROUND 2: 審查報告及授權</t>
  </si>
  <si>
    <t>0.原廠符合性宣告表
1.R點測試報告  及 R點宣告書
2.原廠車輛規格表
3.車輛安全檢測基準測試報告 (ARTC)
4.車輛安全檢測基準審查報告
5.原廠車輛 審查報告 及 審查報告授權書
6.原廠供應商 審查報告 及 審查報告授權書
7.福祉供應商 審查報告 及 審查報告授權書
8.安全玻璃安全帶門閂鉸鏈聲明書
9.認證車符合性宣告表</t>
  </si>
  <si>
    <t>⑧法規檢驗(測試報告) 020/040
⑪ROUND 3: 新車型審驗(4-8週)</t>
  </si>
  <si>
    <t>0.新車型審驗 (掛案/補件/結案)
1.廠牌及型式系列聲明書
2.改裝聲明書
3.完成車照片
4.車身及引擎號碼打刻位置與示意圖
5.車輛規格表(法測後更新版)
6.車主手冊
7.車輛使用手冊註明法規符合性內容聲明</t>
  </si>
  <si>
    <t>⑫生產準備(量產移行/試量產)</t>
  </si>
  <si>
    <t>1.量產移行計畫 (5M預備)
2.產品計畫 (C、D) 四表 [更新版]
3.商品化產品教育訓練及技術移轉
4.產能規劃及預測
5.建立產品結構 (正式品) P-BOM表
6.QRQC 現場改善行動
7.生管到位展開生產模擬</t>
  </si>
  <si>
    <t>▲商品化</t>
  </si>
  <si>
    <t>▲試量產</t>
  </si>
  <si>
    <t>▲正式量產</t>
  </si>
  <si>
    <t>Gate 3: 三階段關卡評審 (試量產品)</t>
  </si>
  <si>
    <t>1.通過審驗獲得合格證之商品化產品
2.產品計畫 (A、B、C、D) 四表 [更新版]
3.料帳結算 [更新版]
4.第二次 (跨部會) 產品說明會 [聽取反饋建議]
5.量產(正式品)P-BOM建立</t>
  </si>
  <si>
    <t>⑬量產製程及工法改善</t>
  </si>
  <si>
    <t>正式量產</t>
  </si>
  <si>
    <t>組長</t>
  </si>
  <si>
    <t xml:space="preserve">Gate 4: 四階段關卡評審 (量產產品) </t>
  </si>
  <si>
    <t>1.建立安全庫存量
2.售後服務建立
3.降低量產成本
4.確認生產品質</t>
  </si>
  <si>
    <t>⑭上市</t>
  </si>
  <si>
    <t>上市行銷活動</t>
  </si>
  <si>
    <t>行銷業務部</t>
  </si>
  <si>
    <t>總計人天數</t>
  </si>
  <si>
    <t>112/06/15 V01.TB-T53</t>
  </si>
  <si>
    <t>新產品開發計畫 （A表）-附件 (產品工程)</t>
  </si>
  <si>
    <t>專案項目名稱</t>
  </si>
  <si>
    <t>客戶名稱</t>
  </si>
  <si>
    <t>階段 / 任務項目</t>
  </si>
  <si>
    <t>文件名稱</t>
  </si>
  <si>
    <t>PM
確認</t>
  </si>
  <si>
    <t>設計開發</t>
  </si>
  <si>
    <t>產品部</t>
  </si>
  <si>
    <t>1.車輛採購</t>
  </si>
  <si>
    <t>CADDY 自排 訂車</t>
  </si>
  <si>
    <t>管理部</t>
  </si>
  <si>
    <t>2.到車</t>
  </si>
  <si>
    <t>到車</t>
  </si>
  <si>
    <t>3.內裝拆除</t>
  </si>
  <si>
    <t>內裝拆除</t>
  </si>
  <si>
    <t>4.切割車頂</t>
  </si>
  <si>
    <t>5.組裝上框</t>
  </si>
  <si>
    <t>6.防水件</t>
  </si>
  <si>
    <t>7.組裝上蓋</t>
  </si>
  <si>
    <t>8.側邊帳固定架組裝</t>
  </si>
  <si>
    <t>9.組裝側邊帳</t>
  </si>
  <si>
    <t>10防水與品質測試</t>
  </si>
  <si>
    <t>廠務部</t>
  </si>
  <si>
    <t>112/06/15 V01.TB-T53-1</t>
  </si>
  <si>
    <t>三、法規認證</t>
  </si>
  <si>
    <t>設計組</t>
  </si>
  <si>
    <t>掛案申請
（ARTC, VSCC）</t>
  </si>
  <si>
    <t>測試治具製作
（供應商）</t>
  </si>
  <si>
    <t>車殼測試
（輪椅位移、人偶、靜態安全帶鎖點）</t>
  </si>
  <si>
    <t>實車測試
（670,040,020）</t>
  </si>
  <si>
    <t>取得測試報告 （ARTC）</t>
  </si>
  <si>
    <t>文件審查 （VSCC）</t>
  </si>
  <si>
    <t>多功能小組</t>
  </si>
  <si>
    <t>取得合格證 （交通部）</t>
  </si>
  <si>
    <t>四、試產準備</t>
  </si>
  <si>
    <t>開發組</t>
  </si>
  <si>
    <t>16. 產品、製程、品質系統確認</t>
  </si>
  <si>
    <t>17. 製程及品檢工序確認</t>
  </si>
  <si>
    <t>18. 生產設備、場地LAYOUT確認及佈置</t>
  </si>
  <si>
    <t>製造部</t>
  </si>
  <si>
    <t>19. 過程失效模式分析（PFEMA）</t>
  </si>
  <si>
    <t>生技</t>
  </si>
  <si>
    <t>20. 出貨物流、式樣確認</t>
  </si>
  <si>
    <t>21. 量測設備、工具確認</t>
  </si>
  <si>
    <t>品保部</t>
  </si>
  <si>
    <t>22. 人員教育訓練</t>
  </si>
  <si>
    <t>生技＋技轉</t>
  </si>
  <si>
    <t>23. 階段審查</t>
  </si>
  <si>
    <t>X</t>
  </si>
  <si>
    <t>五、批量試生產</t>
  </si>
  <si>
    <t>24. 小批量生產</t>
  </si>
  <si>
    <t>25. 直通率、成品良率及生產效率統計評估</t>
  </si>
  <si>
    <t>26. 量產文件整合</t>
  </si>
  <si>
    <t>27. 新產品審查承認</t>
  </si>
  <si>
    <t>露營車研發預算 及 (法規基礎款)量產件報價推估</t>
  </si>
  <si>
    <t>量產總計</t>
  </si>
  <si>
    <t>研發總計</t>
  </si>
  <si>
    <t>數量</t>
  </si>
  <si>
    <t>單位</t>
  </si>
  <si>
    <t>費用(含稅)</t>
  </si>
  <si>
    <t>備註</t>
  </si>
  <si>
    <t>量產件報價(含稅)</t>
  </si>
  <si>
    <t>材料費用</t>
  </si>
  <si>
    <t>原廠車輛 (2023年款-Caddy California露營車)</t>
  </si>
  <si>
    <t>輛</t>
  </si>
  <si>
    <t>原廠告知會漲兩波的價格
若預計於明年度起案，原廠建議用 180 萬計算。
若於今年度起算，專案研發車輛用 169.8 萬 計算。</t>
  </si>
  <si>
    <t>委製料件- 掀頂改高總成 (含 車頂內裝) - 國產化</t>
  </si>
  <si>
    <t>式</t>
  </si>
  <si>
    <t xml:space="preserve"> 掀頂改高總成 (含 內裝) 及 委外工資</t>
  </si>
  <si>
    <t>採購件- 側邊帳支架</t>
  </si>
  <si>
    <t>組</t>
  </si>
  <si>
    <t>1組3個</t>
  </si>
  <si>
    <t>合格汽車用滅火器</t>
  </si>
  <si>
    <t>太星電工車用滅火器</t>
  </si>
  <si>
    <t>模治具費用</t>
  </si>
  <si>
    <t>掀頂 FRP 模具</t>
  </si>
  <si>
    <t xml:space="preserve">掀頂 FRP </t>
  </si>
  <si>
    <t>製造費用</t>
  </si>
  <si>
    <t xml:space="preserve"> 車輛預計停留在工位/停車場佔位時間 </t>
  </si>
  <si>
    <t>小時</t>
  </si>
  <si>
    <t>每小時724元，預計使用工位 9 週</t>
  </si>
  <si>
    <r>
      <rPr>
        <rFont val="Calibri"/>
        <color theme="1"/>
        <sz val="12.0"/>
      </rPr>
      <t>10</t>
    </r>
    <r>
      <rPr>
        <rFont val="微軟正黑體"/>
        <color theme="1"/>
        <sz val="12.0"/>
      </rPr>
      <t>天</t>
    </r>
  </si>
  <si>
    <t>量產工位</t>
  </si>
  <si>
    <t>人工費用</t>
  </si>
  <si>
    <t>人天</t>
  </si>
  <si>
    <t>人力工時，每小時600元，1人天4800元。被計算的人天工作詳表
1人月 = 22 人天、1人天=8人時</t>
  </si>
  <si>
    <t>量產時間</t>
  </si>
  <si>
    <t>測試</t>
  </si>
  <si>
    <t>趟</t>
  </si>
  <si>
    <t>福祉 - ARTC、ARTC-福祉 (若中華測試通過，可省一趟)</t>
  </si>
  <si>
    <t>性能試驗測試</t>
  </si>
  <si>
    <t>原廠規定露營車機能、可靠、性能共8項測試</t>
  </si>
  <si>
    <t>020. 車輛規格規定</t>
  </si>
  <si>
    <t>案</t>
  </si>
  <si>
    <t>040. 靜態煞車</t>
  </si>
  <si>
    <t>M1類車輛(含編號020.3檢測)</t>
  </si>
  <si>
    <t>770 客車車外突出限制</t>
  </si>
  <si>
    <t>191 耐燃防焰材質測</t>
  </si>
  <si>
    <t>191 耐燃防焰材質測試 (須看委外供應商是否可以直接提供審查報告)</t>
  </si>
  <si>
    <t>新車型審驗</t>
  </si>
  <si>
    <t>申請者資格登錄</t>
  </si>
  <si>
    <t>申請者資格變更登錄(新車型登錄)/品質一致性管制計畫書審查</t>
  </si>
  <si>
    <t>車輛內裝材料變更登錄</t>
  </si>
  <si>
    <t xml:space="preserve">
(申請者第一次申請「品質一致性管制計畫審查) </t>
  </si>
  <si>
    <t>新車型式安全審驗 (併案監測 020. 車輛規格規定) - 原車頭</t>
  </si>
  <si>
    <t>小型車輛及小型汽車附掛之拖車尺度限制與重量之監測</t>
  </si>
  <si>
    <t>新車型式安全審驗 (併案監測 020. 車輛規格規定) - 胖卡延伸</t>
  </si>
  <si>
    <t>延伸車型</t>
  </si>
  <si>
    <t>112/06/15 V01.TB-T53-2</t>
  </si>
  <si>
    <t xml:space="preserve">MSRP售價推估 </t>
  </si>
  <si>
    <t>台當數：1000台</t>
  </si>
  <si>
    <t>方案一</t>
  </si>
  <si>
    <t>2023年度起案車價 169.8萬</t>
  </si>
  <si>
    <t>2024年度起案車價 180萬</t>
  </si>
  <si>
    <t>MSRP</t>
  </si>
  <si>
    <t>超過原廠要望，需要進一步審計。</t>
  </si>
  <si>
    <t>建議售價 (牌價)</t>
  </si>
  <si>
    <t>228.9萬</t>
  </si>
  <si>
    <t>239.5萬</t>
  </si>
  <si>
    <t>報價區間</t>
  </si>
  <si>
    <t>218萬-228萬</t>
  </si>
  <si>
    <t>229萬-239萬</t>
  </si>
  <si>
    <t>業務底價</t>
  </si>
  <si>
    <t>業代佣金(xxx萬以上)+業務交車獎金</t>
  </si>
  <si>
    <t>無獎金價格</t>
  </si>
  <si>
    <t>合理利潤</t>
  </si>
  <si>
    <t>推銷費用</t>
  </si>
  <si>
    <t>管理費用</t>
  </si>
  <si>
    <t>完成車價格(含稅)</t>
  </si>
  <si>
    <t>物流成本</t>
  </si>
  <si>
    <t>1趟5000</t>
  </si>
  <si>
    <t>改裝稅</t>
  </si>
  <si>
    <t>改裝製造費用</t>
  </si>
  <si>
    <t>委製加工費用</t>
  </si>
  <si>
    <t>改裝人工成本</t>
  </si>
  <si>
    <t>改裝材料費</t>
  </si>
  <si>
    <t>研發成本攤提(400台)</t>
  </si>
  <si>
    <t>經銷商折讓%</t>
  </si>
  <si>
    <t>無折幅</t>
  </si>
  <si>
    <t>原廠車價</t>
  </si>
  <si>
    <t>112/06/15 V01.TB-T53-3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</si>
</sst>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&quot;月&quot;d&quot;日&quot;"/>
    <numFmt numFmtId="165" formatCode="0_);[Red]\(0\)"/>
    <numFmt numFmtId="166" formatCode="m/d"/>
    <numFmt numFmtId="167" formatCode="#,##0_ "/>
    <numFmt numFmtId="168" formatCode="_-* #,##0_-;\-* #,##0_-;_-* &quot;-&quot;??_-;_-@"/>
  </numFmts>
  <fonts count="56">
    <font>
      <sz val="12.0"/>
      <color theme="1"/>
      <name val="Calibri"/>
      <scheme val="minor"/>
    </font>
    <font>
      <b/>
      <u/>
      <sz val="18.0"/>
      <color theme="1"/>
      <name val="Calibri"/>
    </font>
    <font/>
    <font>
      <b/>
      <u/>
      <sz val="12.0"/>
      <color theme="1"/>
      <name val="Microsoft JhengHei"/>
    </font>
    <font>
      <sz val="12.0"/>
      <color theme="1"/>
      <name val="Microsoft JhengHe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Microsoft JhengHei"/>
    </font>
    <font>
      <sz val="12.0"/>
      <color theme="1"/>
      <name val="Calibri"/>
    </font>
    <font>
      <sz val="12.0"/>
      <color theme="1"/>
      <name val="DFKai-SB"/>
    </font>
    <font>
      <b/>
      <sz val="12.0"/>
      <color rgb="FFFF0000"/>
      <name val="DFKai-SB"/>
    </font>
    <font>
      <sz val="10.0"/>
      <color theme="1"/>
      <name val="Microsoft JhengHei"/>
    </font>
    <font>
      <sz val="10.0"/>
      <color theme="1"/>
      <name val="DFKai-SB"/>
    </font>
    <font>
      <sz val="12.0"/>
      <color theme="1"/>
      <name val="微軟正黑體 Light"/>
    </font>
    <font>
      <b/>
      <sz val="18.0"/>
      <color theme="1"/>
      <name val="微軟正黑體 Light"/>
    </font>
    <font>
      <b/>
      <u/>
      <sz val="24.0"/>
      <color theme="1"/>
      <name val="微軟正黑體 Light"/>
    </font>
    <font>
      <b/>
      <sz val="16.0"/>
      <color theme="1"/>
      <name val="微軟正黑體 Light"/>
    </font>
    <font>
      <b/>
      <u/>
      <sz val="24.0"/>
      <color theme="1"/>
      <name val="微軟正黑體 Light"/>
    </font>
    <font>
      <sz val="12.0"/>
      <color theme="1"/>
      <name val="Arial"/>
    </font>
    <font>
      <b/>
      <sz val="14.0"/>
      <color rgb="FFFF0000"/>
      <name val="微軟正黑體 Light"/>
    </font>
    <font>
      <b/>
      <sz val="14.0"/>
      <color theme="1"/>
      <name val="微軟正黑體 Light"/>
    </font>
    <font>
      <sz val="18.0"/>
      <color theme="1"/>
      <name val="微軟正黑體 Light"/>
    </font>
    <font>
      <sz val="9.0"/>
      <color theme="1"/>
      <name val="微軟正黑體 Light"/>
    </font>
    <font>
      <sz val="12.0"/>
      <color theme="1"/>
      <name val="PMingLiu"/>
    </font>
    <font>
      <u/>
      <sz val="11.0"/>
      <color theme="10"/>
      <name val="Microsoft JhengHei"/>
    </font>
    <font>
      <u/>
      <sz val="11.0"/>
      <color theme="10"/>
      <name val="Microsoft JhengHei"/>
    </font>
    <font>
      <b/>
      <sz val="10.0"/>
      <color theme="1"/>
      <name val="微軟正黑體 Light"/>
    </font>
    <font>
      <b/>
      <sz val="18.0"/>
      <color rgb="FFF2F2F2"/>
      <name val="微軟正黑體 Light"/>
    </font>
    <font>
      <b/>
      <sz val="12.0"/>
      <color rgb="FFF2F2F2"/>
      <name val="PMingLiu"/>
    </font>
    <font>
      <b/>
      <sz val="12.0"/>
      <color rgb="FFF2F2F2"/>
      <name val="微軟正黑體 Light"/>
    </font>
    <font>
      <b/>
      <sz val="10.0"/>
      <color rgb="FFF2F2F2"/>
      <name val="微軟正黑體 Light"/>
    </font>
    <font>
      <sz val="11.0"/>
      <color theme="1"/>
      <name val="Microsoft JhengHei"/>
    </font>
    <font>
      <sz val="12.0"/>
      <color rgb="FFFF0000"/>
      <name val="微軟正黑體 Light"/>
    </font>
    <font>
      <sz val="11.0"/>
      <color rgb="FFFF0000"/>
      <name val="Microsoft JhengHei"/>
    </font>
    <font>
      <u/>
      <sz val="12.0"/>
      <color theme="10"/>
      <name val="PMingLiu"/>
    </font>
    <font>
      <b/>
      <sz val="12.0"/>
      <color theme="1"/>
      <name val="PMingLiu"/>
    </font>
    <font>
      <b/>
      <sz val="12.0"/>
      <color theme="1"/>
      <name val="微軟正黑體 Light"/>
    </font>
    <font>
      <b/>
      <sz val="18.0"/>
      <color theme="0"/>
      <name val="微軟正黑體 Light"/>
    </font>
    <font>
      <b/>
      <sz val="12.0"/>
      <color theme="0"/>
      <name val="PMingLiu"/>
    </font>
    <font>
      <b/>
      <sz val="12.0"/>
      <color theme="0"/>
      <name val="微軟正黑體 Light"/>
    </font>
    <font>
      <b/>
      <sz val="10.0"/>
      <color theme="0"/>
      <name val="微軟正黑體 Light"/>
    </font>
    <font>
      <b/>
      <u/>
      <sz val="24.0"/>
      <color theme="1"/>
      <name val="微軟正黑體 Light"/>
    </font>
    <font>
      <b/>
      <u/>
      <sz val="20.0"/>
      <color theme="1"/>
      <name val="微軟正黑體 Light"/>
    </font>
    <font>
      <b/>
      <sz val="12.0"/>
      <color rgb="FFFF0000"/>
      <name val="微軟正黑體 Light"/>
    </font>
    <font>
      <sz val="10.0"/>
      <color theme="1"/>
      <name val="微軟正黑體 Light"/>
    </font>
    <font>
      <b/>
      <sz val="20.0"/>
      <color theme="1"/>
      <name val="Microsoft JhengHei"/>
    </font>
    <font>
      <b/>
      <sz val="20.0"/>
      <color rgb="FFFF0000"/>
      <name val="Microsoft JhengHei"/>
    </font>
    <font>
      <sz val="20.0"/>
      <color rgb="FFFF0000"/>
      <name val="Calibri"/>
    </font>
    <font>
      <sz val="20.0"/>
      <color rgb="FFFF0000"/>
      <name val="Microsoft JhengHei"/>
    </font>
    <font>
      <sz val="12.0"/>
      <color theme="1"/>
      <name val="MingLiu"/>
    </font>
    <font>
      <b/>
      <sz val="12.0"/>
      <color rgb="FF0000FF"/>
      <name val="Microsoft JhengHei"/>
    </font>
    <font>
      <b/>
      <sz val="12.0"/>
      <color rgb="FFFF0000"/>
      <name val="Microsoft JhengHei"/>
    </font>
    <font>
      <b/>
      <sz val="14.0"/>
      <color theme="1"/>
      <name val="DFKai-SB"/>
    </font>
    <font>
      <sz val="14.0"/>
      <color theme="1"/>
      <name val="DFKai-SB"/>
    </font>
    <font>
      <sz val="14.0"/>
      <color rgb="FFFF0000"/>
      <name val="DFKai-SB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FCCFF"/>
        <bgColor rgb="FFFFCCFF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66CC"/>
        <bgColor rgb="FF0066CC"/>
      </patternFill>
    </fill>
    <fill>
      <patternFill patternType="solid">
        <fgColor rgb="FFB4C6E7"/>
        <bgColor rgb="FFB4C6E7"/>
      </patternFill>
    </fill>
    <fill>
      <patternFill patternType="solid">
        <fgColor rgb="FFC55A11"/>
        <bgColor rgb="FFC55A11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</fills>
  <borders count="6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FF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2" fontId="5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7" fillId="3" fontId="9" numFmtId="0" xfId="0" applyAlignment="1" applyBorder="1" applyFill="1" applyFont="1">
      <alignment horizontal="center" vertical="center"/>
    </xf>
    <xf borderId="8" fillId="2" fontId="10" numFmtId="0" xfId="0" applyAlignment="1" applyBorder="1" applyFont="1">
      <alignment vertical="center"/>
    </xf>
    <xf borderId="8" fillId="2" fontId="9" numFmtId="0" xfId="0" applyAlignment="1" applyBorder="1" applyFont="1">
      <alignment vertical="center"/>
    </xf>
    <xf borderId="9" fillId="2" fontId="9" numFmtId="0" xfId="0" applyAlignment="1" applyBorder="1" applyFont="1">
      <alignment vertical="center"/>
    </xf>
    <xf borderId="7" fillId="2" fontId="9" numFmtId="0" xfId="0" applyAlignment="1" applyBorder="1" applyFont="1">
      <alignment horizontal="center" vertical="center"/>
    </xf>
    <xf borderId="7" fillId="3" fontId="10" numFmtId="0" xfId="0" applyAlignment="1" applyBorder="1" applyFont="1">
      <alignment horizontal="center" vertical="center"/>
    </xf>
    <xf borderId="8" fillId="2" fontId="11" numFmtId="0" xfId="0" applyAlignment="1" applyBorder="1" applyFont="1">
      <alignment vertical="center"/>
    </xf>
    <xf borderId="7" fillId="2" fontId="9" numFmtId="0" xfId="0" applyAlignment="1" applyBorder="1" applyFont="1">
      <alignment vertical="top"/>
    </xf>
    <xf borderId="8" fillId="2" fontId="9" numFmtId="0" xfId="0" applyAlignment="1" applyBorder="1" applyFont="1">
      <alignment vertical="top"/>
    </xf>
    <xf borderId="9" fillId="2" fontId="9" numFmtId="0" xfId="0" applyAlignment="1" applyBorder="1" applyFont="1">
      <alignment vertical="top"/>
    </xf>
    <xf borderId="0" fillId="0" fontId="4" numFmtId="0" xfId="0" applyAlignment="1" applyFont="1">
      <alignment vertical="top"/>
    </xf>
    <xf borderId="10" fillId="2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0" fillId="2" fontId="4" numFmtId="0" xfId="0" applyAlignment="1" applyBorder="1" applyFont="1">
      <alignment vertical="center"/>
    </xf>
    <xf borderId="10" fillId="2" fontId="4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left" vertical="center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vertical="center"/>
    </xf>
    <xf borderId="11" fillId="2" fontId="4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vertical="top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1" fillId="0" fontId="10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16" fillId="0" fontId="15" numFmtId="0" xfId="0" applyAlignment="1" applyBorder="1" applyFont="1">
      <alignment shrinkToFit="0" vertical="center" wrapText="1"/>
    </xf>
    <xf borderId="17" fillId="0" fontId="16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17" fillId="0" fontId="17" numFmtId="0" xfId="0" applyAlignment="1" applyBorder="1" applyFont="1">
      <alignment horizontal="center" shrinkToFit="0" vertical="center" wrapText="1"/>
    </xf>
    <xf borderId="17" fillId="0" fontId="18" numFmtId="0" xfId="0" applyAlignment="1" applyBorder="1" applyFont="1">
      <alignment horizontal="center" vertical="center"/>
    </xf>
    <xf borderId="17" fillId="0" fontId="19" numFmtId="0" xfId="0" applyAlignment="1" applyBorder="1" applyFont="1">
      <alignment horizontal="center" vertical="bottom"/>
    </xf>
    <xf borderId="17" fillId="0" fontId="14" numFmtId="0" xfId="0" applyAlignment="1" applyBorder="1" applyFont="1">
      <alignment horizontal="center" vertical="center"/>
    </xf>
    <xf borderId="20" fillId="0" fontId="2" numFmtId="0" xfId="0" applyAlignment="1" applyBorder="1" applyFont="1">
      <alignment vertical="center"/>
    </xf>
    <xf borderId="21" fillId="4" fontId="15" numFmtId="0" xfId="0" applyAlignment="1" applyBorder="1" applyFill="1" applyFont="1">
      <alignment horizontal="center" shrinkToFit="0" vertical="center" wrapText="1"/>
    </xf>
    <xf borderId="11" fillId="4" fontId="20" numFmtId="0" xfId="0" applyAlignment="1" applyBorder="1" applyFont="1">
      <alignment horizontal="left" vertical="center"/>
    </xf>
    <xf borderId="11" fillId="4" fontId="15" numFmtId="0" xfId="0" applyAlignment="1" applyBorder="1" applyFont="1">
      <alignment horizontal="center" vertical="center"/>
    </xf>
    <xf borderId="11" fillId="4" fontId="20" numFmtId="0" xfId="0" applyAlignment="1" applyBorder="1" applyFont="1">
      <alignment horizontal="center" vertical="center"/>
    </xf>
    <xf borderId="11" fillId="5" fontId="15" numFmtId="0" xfId="0" applyAlignment="1" applyBorder="1" applyFill="1" applyFont="1">
      <alignment horizontal="center" vertical="center"/>
    </xf>
    <xf borderId="11" fillId="5" fontId="20" numFmtId="0" xfId="0" applyAlignment="1" applyBorder="1" applyFont="1">
      <alignment horizontal="center" shrinkToFit="0" vertical="center" wrapText="1"/>
    </xf>
    <xf borderId="11" fillId="4" fontId="21" numFmtId="0" xfId="0" applyAlignment="1" applyBorder="1" applyFont="1">
      <alignment horizontal="center" vertical="center"/>
    </xf>
    <xf borderId="10" fillId="0" fontId="14" numFmtId="0" xfId="0" applyAlignment="1" applyBorder="1" applyFont="1">
      <alignment vertical="center"/>
    </xf>
    <xf borderId="11" fillId="0" fontId="14" numFmtId="0" xfId="0" applyAlignment="1" applyBorder="1" applyFont="1">
      <alignment horizontal="center" vertical="center"/>
    </xf>
    <xf borderId="22" fillId="0" fontId="2" numFmtId="0" xfId="0" applyAlignment="1" applyBorder="1" applyFont="1">
      <alignment vertical="center"/>
    </xf>
    <xf borderId="23" fillId="0" fontId="22" numFmtId="0" xfId="0" applyAlignment="1" applyBorder="1" applyFont="1">
      <alignment horizontal="center" shrinkToFit="0" vertical="center" wrapText="1"/>
    </xf>
    <xf borderId="24" fillId="0" fontId="14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vertical="center"/>
    </xf>
    <xf borderId="11" fillId="0" fontId="22" numFmtId="0" xfId="0" applyAlignment="1" applyBorder="1" applyFont="1">
      <alignment horizontal="center" vertical="center"/>
    </xf>
    <xf borderId="11" fillId="0" fontId="14" numFmtId="17" xfId="0" applyAlignment="1" applyBorder="1" applyFont="1" applyNumberFormat="1">
      <alignment horizontal="left" vertical="center"/>
    </xf>
    <xf borderId="11" fillId="0" fontId="14" numFmtId="17" xfId="0" applyAlignment="1" applyBorder="1" applyFont="1" applyNumberFormat="1">
      <alignment horizontal="center" vertical="center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10" fillId="0" fontId="22" numFmtId="0" xfId="0" applyAlignment="1" applyBorder="1" applyFont="1">
      <alignment horizontal="center" vertical="center"/>
    </xf>
    <xf borderId="10" fillId="0" fontId="14" numFmtId="165" xfId="0" applyAlignment="1" applyBorder="1" applyFont="1" applyNumberFormat="1">
      <alignment horizontal="center" vertical="center"/>
    </xf>
    <xf borderId="10" fillId="0" fontId="23" numFmtId="165" xfId="0" applyAlignment="1" applyBorder="1" applyFont="1" applyNumberFormat="1">
      <alignment horizontal="center" vertical="center"/>
    </xf>
    <xf borderId="27" fillId="0" fontId="14" numFmtId="165" xfId="0" applyAlignment="1" applyBorder="1" applyFont="1" applyNumberFormat="1">
      <alignment horizontal="center" vertical="center"/>
    </xf>
    <xf borderId="21" fillId="6" fontId="22" numFmtId="0" xfId="0" applyAlignment="1" applyBorder="1" applyFill="1" applyFont="1">
      <alignment horizontal="left" shrinkToFit="0" vertical="center" wrapText="1"/>
    </xf>
    <xf borderId="10" fillId="6" fontId="24" numFmtId="0" xfId="0" applyAlignment="1" applyBorder="1" applyFont="1">
      <alignment horizontal="center" vertical="center"/>
    </xf>
    <xf borderId="11" fillId="6" fontId="25" numFmtId="0" xfId="0" applyAlignment="1" applyBorder="1" applyFont="1">
      <alignment horizontal="left" shrinkToFit="0" vertical="center" wrapText="1"/>
    </xf>
    <xf borderId="10" fillId="6" fontId="26" numFmtId="0" xfId="0" applyAlignment="1" applyBorder="1" applyFont="1">
      <alignment shrinkToFit="0" vertical="center" wrapText="1"/>
    </xf>
    <xf borderId="10" fillId="6" fontId="14" numFmtId="0" xfId="0" applyAlignment="1" applyBorder="1" applyFont="1">
      <alignment horizontal="center" vertical="center"/>
    </xf>
    <xf borderId="10" fillId="6" fontId="14" numFmtId="0" xfId="0" applyAlignment="1" applyBorder="1" applyFont="1">
      <alignment horizontal="center" shrinkToFit="0" vertical="center" wrapText="1"/>
    </xf>
    <xf borderId="10" fillId="7" fontId="27" numFmtId="166" xfId="0" applyAlignment="1" applyBorder="1" applyFill="1" applyFont="1" applyNumberFormat="1">
      <alignment horizontal="center" vertical="center"/>
    </xf>
    <xf borderId="10" fillId="6" fontId="27" numFmtId="166" xfId="0" applyAlignment="1" applyBorder="1" applyFont="1" applyNumberFormat="1">
      <alignment horizontal="center" vertical="center"/>
    </xf>
    <xf borderId="10" fillId="6" fontId="14" numFmtId="0" xfId="0" applyAlignment="1" applyBorder="1" applyFont="1">
      <alignment vertical="center"/>
    </xf>
    <xf borderId="27" fillId="6" fontId="14" numFmtId="0" xfId="0" applyAlignment="1" applyBorder="1" applyFont="1">
      <alignment vertical="center"/>
    </xf>
    <xf borderId="21" fillId="8" fontId="28" numFmtId="0" xfId="0" applyAlignment="1" applyBorder="1" applyFill="1" applyFont="1">
      <alignment horizontal="left" shrinkToFit="0" vertical="center" wrapText="1"/>
    </xf>
    <xf borderId="10" fillId="8" fontId="29" numFmtId="0" xfId="0" applyAlignment="1" applyBorder="1" applyFont="1">
      <alignment horizontal="center" vertical="center"/>
    </xf>
    <xf borderId="11" fillId="8" fontId="30" numFmtId="0" xfId="0" applyAlignment="1" applyBorder="1" applyFont="1">
      <alignment shrinkToFit="0" vertical="center" wrapText="1"/>
    </xf>
    <xf borderId="10" fillId="8" fontId="30" numFmtId="0" xfId="0" applyAlignment="1" applyBorder="1" applyFont="1">
      <alignment shrinkToFit="0" vertical="center" wrapText="1"/>
    </xf>
    <xf borderId="10" fillId="8" fontId="30" numFmtId="0" xfId="0" applyAlignment="1" applyBorder="1" applyFont="1">
      <alignment horizontal="center" vertical="center"/>
    </xf>
    <xf borderId="10" fillId="8" fontId="30" numFmtId="0" xfId="0" applyAlignment="1" applyBorder="1" applyFont="1">
      <alignment horizontal="center" shrinkToFit="0" vertical="center" wrapText="1"/>
    </xf>
    <xf borderId="10" fillId="8" fontId="31" numFmtId="166" xfId="0" applyAlignment="1" applyBorder="1" applyFont="1" applyNumberFormat="1">
      <alignment horizontal="center" vertical="center"/>
    </xf>
    <xf borderId="10" fillId="9" fontId="27" numFmtId="166" xfId="0" applyAlignment="1" applyBorder="1" applyFill="1" applyFont="1" applyNumberFormat="1">
      <alignment horizontal="center" vertical="center"/>
    </xf>
    <xf borderId="10" fillId="8" fontId="30" numFmtId="0" xfId="0" applyAlignment="1" applyBorder="1" applyFont="1">
      <alignment vertical="center"/>
    </xf>
    <xf borderId="27" fillId="8" fontId="31" numFmtId="166" xfId="0" applyAlignment="1" applyBorder="1" applyFont="1" applyNumberFormat="1">
      <alignment horizontal="center" vertical="center"/>
    </xf>
    <xf borderId="23" fillId="0" fontId="22" numFmtId="0" xfId="0" applyAlignment="1" applyBorder="1" applyFont="1">
      <alignment horizontal="left" shrinkToFit="0" vertical="center" wrapText="1"/>
    </xf>
    <xf borderId="10" fillId="0" fontId="24" numFmtId="0" xfId="0" applyAlignment="1" applyBorder="1" applyFont="1">
      <alignment horizontal="center" vertical="center"/>
    </xf>
    <xf borderId="11" fillId="0" fontId="32" numFmtId="0" xfId="0" applyAlignment="1" applyBorder="1" applyFont="1">
      <alignment vertical="center"/>
    </xf>
    <xf borderId="10" fillId="0" fontId="33" numFmtId="0" xfId="0" applyAlignment="1" applyBorder="1" applyFont="1">
      <alignment shrinkToFit="0" vertical="center" wrapText="1"/>
    </xf>
    <xf borderId="10" fillId="0" fontId="34" numFmtId="0" xfId="0" applyAlignment="1" applyBorder="1" applyFont="1">
      <alignment vertical="center"/>
    </xf>
    <xf borderId="10" fillId="0" fontId="14" numFmtId="0" xfId="0" applyAlignment="1" applyBorder="1" applyFont="1">
      <alignment horizontal="center" vertical="center"/>
    </xf>
    <xf borderId="10" fillId="10" fontId="27" numFmtId="166" xfId="0" applyAlignment="1" applyBorder="1" applyFill="1" applyFont="1" applyNumberFormat="1">
      <alignment horizontal="center" vertical="center"/>
    </xf>
    <xf borderId="10" fillId="0" fontId="27" numFmtId="166" xfId="0" applyAlignment="1" applyBorder="1" applyFont="1" applyNumberFormat="1">
      <alignment horizontal="center" vertical="center"/>
    </xf>
    <xf borderId="27" fillId="0" fontId="14" numFmtId="0" xfId="0" applyAlignment="1" applyBorder="1" applyFont="1">
      <alignment vertical="center"/>
    </xf>
    <xf borderId="11" fillId="0" fontId="14" numFmtId="0" xfId="0" applyAlignment="1" applyBorder="1" applyFont="1">
      <alignment shrinkToFit="0" vertical="center" wrapText="1"/>
    </xf>
    <xf borderId="10" fillId="0" fontId="14" numFmtId="0" xfId="0" applyAlignment="1" applyBorder="1" applyFont="1">
      <alignment shrinkToFit="0" vertical="center" wrapText="1"/>
    </xf>
    <xf borderId="10" fillId="4" fontId="27" numFmtId="166" xfId="0" applyAlignment="1" applyBorder="1" applyFont="1" applyNumberFormat="1">
      <alignment horizontal="center" vertical="center"/>
    </xf>
    <xf quotePrefix="1" borderId="11" fillId="0" fontId="35" numFmtId="0" xfId="0" applyAlignment="1" applyBorder="1" applyFont="1">
      <alignment shrinkToFit="0" vertical="center" wrapText="1"/>
    </xf>
    <xf borderId="10" fillId="0" fontId="32" numFmtId="0" xfId="0" applyAlignment="1" applyBorder="1" applyFont="1">
      <alignment vertical="center"/>
    </xf>
    <xf borderId="10" fillId="10" fontId="14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21" fillId="0" fontId="22" numFmtId="0" xfId="0" applyAlignment="1" applyBorder="1" applyFont="1">
      <alignment horizontal="left" shrinkToFit="0" vertical="center" wrapText="1"/>
    </xf>
    <xf borderId="11" fillId="0" fontId="32" numFmtId="0" xfId="0" applyAlignment="1" applyBorder="1" applyFont="1">
      <alignment shrinkToFit="0" vertical="center" wrapText="1"/>
    </xf>
    <xf borderId="10" fillId="9" fontId="14" numFmtId="0" xfId="0" applyAlignment="1" applyBorder="1" applyFont="1">
      <alignment vertical="center"/>
    </xf>
    <xf borderId="21" fillId="11" fontId="28" numFmtId="0" xfId="0" applyAlignment="1" applyBorder="1" applyFill="1" applyFont="1">
      <alignment horizontal="left" shrinkToFit="0" vertical="center" wrapText="1"/>
    </xf>
    <xf borderId="10" fillId="11" fontId="29" numFmtId="0" xfId="0" applyAlignment="1" applyBorder="1" applyFont="1">
      <alignment horizontal="center" vertical="center"/>
    </xf>
    <xf borderId="11" fillId="11" fontId="30" numFmtId="0" xfId="0" applyAlignment="1" applyBorder="1" applyFont="1">
      <alignment shrinkToFit="0" vertical="center" wrapText="1"/>
    </xf>
    <xf borderId="10" fillId="11" fontId="30" numFmtId="0" xfId="0" applyAlignment="1" applyBorder="1" applyFont="1">
      <alignment shrinkToFit="0" vertical="center" wrapText="1"/>
    </xf>
    <xf borderId="10" fillId="11" fontId="30" numFmtId="0" xfId="0" applyAlignment="1" applyBorder="1" applyFont="1">
      <alignment horizontal="center" vertical="center"/>
    </xf>
    <xf borderId="10" fillId="11" fontId="30" numFmtId="0" xfId="0" applyAlignment="1" applyBorder="1" applyFont="1">
      <alignment horizontal="center" shrinkToFit="0" vertical="center" wrapText="1"/>
    </xf>
    <xf borderId="10" fillId="11" fontId="31" numFmtId="166" xfId="0" applyAlignment="1" applyBorder="1" applyFont="1" applyNumberFormat="1">
      <alignment horizontal="center" vertical="center"/>
    </xf>
    <xf borderId="10" fillId="11" fontId="30" numFmtId="0" xfId="0" applyAlignment="1" applyBorder="1" applyFont="1">
      <alignment vertical="center"/>
    </xf>
    <xf borderId="27" fillId="11" fontId="31" numFmtId="166" xfId="0" applyAlignment="1" applyBorder="1" applyFont="1" applyNumberFormat="1">
      <alignment horizontal="center" vertical="center"/>
    </xf>
    <xf borderId="10" fillId="9" fontId="27" numFmtId="166" xfId="0" applyAlignment="1" applyBorder="1" applyFont="1" applyNumberFormat="1">
      <alignment horizontal="left" vertical="center"/>
    </xf>
    <xf borderId="21" fillId="12" fontId="15" numFmtId="0" xfId="0" applyAlignment="1" applyBorder="1" applyFill="1" applyFont="1">
      <alignment horizontal="left" shrinkToFit="0" vertical="center" wrapText="1"/>
    </xf>
    <xf borderId="10" fillId="12" fontId="36" numFmtId="0" xfId="0" applyAlignment="1" applyBorder="1" applyFont="1">
      <alignment horizontal="center" vertical="center"/>
    </xf>
    <xf borderId="11" fillId="12" fontId="37" numFmtId="0" xfId="0" applyAlignment="1" applyBorder="1" applyFont="1">
      <alignment shrinkToFit="0" vertical="center" wrapText="1"/>
    </xf>
    <xf borderId="10" fillId="12" fontId="37" numFmtId="0" xfId="0" applyAlignment="1" applyBorder="1" applyFont="1">
      <alignment shrinkToFit="0" vertical="center" wrapText="1"/>
    </xf>
    <xf borderId="10" fillId="12" fontId="37" numFmtId="0" xfId="0" applyAlignment="1" applyBorder="1" applyFont="1">
      <alignment horizontal="center" vertical="center"/>
    </xf>
    <xf borderId="10" fillId="12" fontId="37" numFmtId="0" xfId="0" applyAlignment="1" applyBorder="1" applyFont="1">
      <alignment horizontal="center" shrinkToFit="0" vertical="center" wrapText="1"/>
    </xf>
    <xf borderId="10" fillId="12" fontId="27" numFmtId="166" xfId="0" applyAlignment="1" applyBorder="1" applyFont="1" applyNumberFormat="1">
      <alignment horizontal="center" vertical="center"/>
    </xf>
    <xf borderId="10" fillId="12" fontId="37" numFmtId="0" xfId="0" applyAlignment="1" applyBorder="1" applyFont="1">
      <alignment vertical="center"/>
    </xf>
    <xf borderId="27" fillId="12" fontId="27" numFmtId="166" xfId="0" applyAlignment="1" applyBorder="1" applyFont="1" applyNumberFormat="1">
      <alignment horizontal="center" vertical="center"/>
    </xf>
    <xf borderId="27" fillId="9" fontId="14" numFmtId="0" xfId="0" applyAlignment="1" applyBorder="1" applyFont="1">
      <alignment vertical="center"/>
    </xf>
    <xf borderId="21" fillId="13" fontId="38" numFmtId="0" xfId="0" applyAlignment="1" applyBorder="1" applyFill="1" applyFont="1">
      <alignment horizontal="left" shrinkToFit="0" vertical="center" wrapText="1"/>
    </xf>
    <xf borderId="10" fillId="13" fontId="39" numFmtId="0" xfId="0" applyAlignment="1" applyBorder="1" applyFont="1">
      <alignment horizontal="center" vertical="center"/>
    </xf>
    <xf borderId="11" fillId="13" fontId="40" numFmtId="0" xfId="0" applyAlignment="1" applyBorder="1" applyFont="1">
      <alignment shrinkToFit="0" vertical="center" wrapText="1"/>
    </xf>
    <xf borderId="10" fillId="13" fontId="40" numFmtId="0" xfId="0" applyAlignment="1" applyBorder="1" applyFont="1">
      <alignment shrinkToFit="0" vertical="center" wrapText="1"/>
    </xf>
    <xf borderId="10" fillId="13" fontId="40" numFmtId="0" xfId="0" applyAlignment="1" applyBorder="1" applyFont="1">
      <alignment horizontal="center" vertical="center"/>
    </xf>
    <xf borderId="10" fillId="13" fontId="40" numFmtId="0" xfId="0" applyAlignment="1" applyBorder="1" applyFont="1">
      <alignment horizontal="center" shrinkToFit="0" vertical="center" wrapText="1"/>
    </xf>
    <xf borderId="10" fillId="13" fontId="41" numFmtId="166" xfId="0" applyAlignment="1" applyBorder="1" applyFont="1" applyNumberFormat="1">
      <alignment horizontal="center" vertical="center"/>
    </xf>
    <xf borderId="10" fillId="13" fontId="40" numFmtId="0" xfId="0" applyAlignment="1" applyBorder="1" applyFont="1">
      <alignment vertical="center"/>
    </xf>
    <xf borderId="27" fillId="13" fontId="41" numFmtId="166" xfId="0" applyAlignment="1" applyBorder="1" applyFont="1" applyNumberFormat="1">
      <alignment horizontal="center" vertical="center"/>
    </xf>
    <xf borderId="29" fillId="0" fontId="22" numFmtId="0" xfId="0" applyAlignment="1" applyBorder="1" applyFont="1">
      <alignment horizontal="left" shrinkToFit="0" vertical="center" wrapText="1"/>
    </xf>
    <xf borderId="30" fillId="0" fontId="24" numFmtId="0" xfId="0" applyAlignment="1" applyBorder="1" applyFont="1">
      <alignment horizontal="center" vertical="center"/>
    </xf>
    <xf borderId="31" fillId="0" fontId="14" numFmtId="0" xfId="0" applyAlignment="1" applyBorder="1" applyFont="1">
      <alignment horizontal="center" vertical="center"/>
    </xf>
    <xf borderId="32" fillId="0" fontId="2" numFmtId="0" xfId="0" applyAlignment="1" applyBorder="1" applyFont="1">
      <alignment vertical="center"/>
    </xf>
    <xf borderId="33" fillId="0" fontId="2" numFmtId="0" xfId="0" applyAlignment="1" applyBorder="1" applyFont="1">
      <alignment vertical="center"/>
    </xf>
    <xf borderId="30" fillId="0" fontId="14" numFmtId="0" xfId="0" applyAlignment="1" applyBorder="1" applyFont="1">
      <alignment horizontal="center" vertical="center"/>
    </xf>
    <xf borderId="30" fillId="0" fontId="14" numFmtId="0" xfId="0" applyAlignment="1" applyBorder="1" applyFont="1">
      <alignment vertical="center"/>
    </xf>
    <xf borderId="34" fillId="0" fontId="14" numFmtId="0" xfId="0" applyAlignment="1" applyBorder="1" applyFont="1">
      <alignment vertical="center"/>
    </xf>
    <xf borderId="0" fillId="0" fontId="22" numFmtId="0" xfId="0" applyAlignment="1" applyFont="1">
      <alignment shrinkToFit="0" vertical="center" wrapText="1"/>
    </xf>
    <xf borderId="15" fillId="0" fontId="14" numFmtId="0" xfId="0" applyAlignment="1" applyBorder="1" applyFont="1">
      <alignment vertical="center"/>
    </xf>
    <xf borderId="11" fillId="0" fontId="21" numFmtId="0" xfId="0" applyAlignment="1" applyBorder="1" applyFont="1">
      <alignment horizontal="left" shrinkToFit="0" vertical="center" wrapText="1"/>
    </xf>
    <xf borderId="11" fillId="0" fontId="42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shrinkToFit="0" vertical="center" wrapText="1"/>
    </xf>
    <xf borderId="11" fillId="0" fontId="43" numFmtId="0" xfId="0" applyAlignment="1" applyBorder="1" applyFont="1">
      <alignment horizontal="center" vertical="center"/>
    </xf>
    <xf borderId="10" fillId="4" fontId="21" numFmtId="0" xfId="0" applyAlignment="1" applyBorder="1" applyFont="1">
      <alignment horizontal="center" shrinkToFit="0" vertical="center" wrapText="1"/>
    </xf>
    <xf borderId="35" fillId="4" fontId="20" numFmtId="0" xfId="0" applyAlignment="1" applyBorder="1" applyFont="1">
      <alignment horizontal="center" vertical="center"/>
    </xf>
    <xf borderId="36" fillId="4" fontId="21" numFmtId="0" xfId="0" applyAlignment="1" applyBorder="1" applyFont="1">
      <alignment horizontal="center" vertical="center"/>
    </xf>
    <xf borderId="35" fillId="4" fontId="21" numFmtId="0" xfId="0" applyAlignment="1" applyBorder="1" applyFont="1">
      <alignment horizontal="center" vertical="center"/>
    </xf>
    <xf borderId="36" fillId="5" fontId="20" numFmtId="0" xfId="0" applyAlignment="1" applyBorder="1" applyFont="1">
      <alignment vertical="center"/>
    </xf>
    <xf borderId="37" fillId="5" fontId="20" numFmtId="0" xfId="0" applyAlignment="1" applyBorder="1" applyFont="1">
      <alignment vertical="center"/>
    </xf>
    <xf borderId="38" fillId="5" fontId="20" numFmtId="0" xfId="0" applyAlignment="1" applyBorder="1" applyFont="1">
      <alignment vertical="center"/>
    </xf>
    <xf borderId="24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1" fillId="5" fontId="44" numFmtId="0" xfId="0" applyAlignment="1" applyBorder="1" applyFont="1">
      <alignment horizontal="left" vertical="center"/>
    </xf>
    <xf borderId="10" fillId="5" fontId="44" numFmtId="0" xfId="0" applyAlignment="1" applyBorder="1" applyFont="1">
      <alignment horizontal="center" vertical="center"/>
    </xf>
    <xf borderId="10" fillId="5" fontId="14" numFmtId="0" xfId="0" applyAlignment="1" applyBorder="1" applyFont="1">
      <alignment vertical="center"/>
    </xf>
    <xf borderId="39" fillId="5" fontId="14" numFmtId="0" xfId="0" applyAlignment="1" applyBorder="1" applyFont="1">
      <alignment vertical="center"/>
    </xf>
    <xf borderId="38" fillId="5" fontId="14" numFmtId="0" xfId="0" applyAlignment="1" applyBorder="1" applyFont="1">
      <alignment vertical="center"/>
    </xf>
    <xf borderId="24" fillId="0" fontId="14" numFmtId="0" xfId="0" applyAlignment="1" applyBorder="1" applyFont="1">
      <alignment vertical="center"/>
    </xf>
    <xf borderId="1" fillId="0" fontId="14" numFmtId="0" xfId="0" applyAlignment="1" applyBorder="1" applyFont="1">
      <alignment horizontal="left" vertical="center"/>
    </xf>
    <xf borderId="10" fillId="12" fontId="45" numFmtId="166" xfId="0" applyAlignment="1" applyBorder="1" applyFont="1" applyNumberFormat="1">
      <alignment horizontal="center" vertical="center"/>
    </xf>
    <xf borderId="10" fillId="0" fontId="45" numFmtId="166" xfId="0" applyAlignment="1" applyBorder="1" applyFont="1" applyNumberFormat="1">
      <alignment horizontal="center" vertical="center"/>
    </xf>
    <xf borderId="8" fillId="12" fontId="14" numFmtId="0" xfId="0" applyAlignment="1" applyBorder="1" applyFont="1">
      <alignment vertical="center"/>
    </xf>
    <xf borderId="10" fillId="14" fontId="45" numFmtId="166" xfId="0" applyAlignment="1" applyBorder="1" applyFill="1" applyFont="1" applyNumberFormat="1">
      <alignment horizontal="center" vertical="center"/>
    </xf>
    <xf borderId="1" fillId="0" fontId="14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vertical="center"/>
    </xf>
    <xf borderId="11" fillId="0" fontId="14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horizontal="left" vertical="center"/>
    </xf>
    <xf borderId="2" fillId="0" fontId="14" numFmtId="0" xfId="0" applyAlignment="1" applyBorder="1" applyFont="1">
      <alignment horizontal="center" vertical="center"/>
    </xf>
    <xf borderId="0" fillId="0" fontId="45" numFmtId="166" xfId="0" applyAlignment="1" applyFont="1" applyNumberFormat="1">
      <alignment horizontal="center" vertical="center"/>
    </xf>
    <xf borderId="2" fillId="0" fontId="45" numFmtId="166" xfId="0" applyAlignment="1" applyBorder="1" applyFont="1" applyNumberForma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center" vertical="center"/>
    </xf>
    <xf borderId="40" fillId="5" fontId="44" numFmtId="0" xfId="0" applyAlignment="1" applyBorder="1" applyFont="1">
      <alignment horizontal="left" vertical="center"/>
    </xf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43" fillId="5" fontId="44" numFmtId="0" xfId="0" applyAlignment="1" applyBorder="1" applyFont="1">
      <alignment horizontal="center" vertical="center"/>
    </xf>
    <xf borderId="43" fillId="5" fontId="14" numFmtId="0" xfId="0" applyAlignment="1" applyBorder="1" applyFont="1">
      <alignment vertical="center"/>
    </xf>
    <xf borderId="43" fillId="3" fontId="14" numFmtId="0" xfId="0" applyAlignment="1" applyBorder="1" applyFont="1">
      <alignment vertical="center"/>
    </xf>
    <xf borderId="44" fillId="5" fontId="14" numFmtId="0" xfId="0" applyAlignment="1" applyBorder="1" applyFont="1">
      <alignment vertical="center"/>
    </xf>
    <xf borderId="45" fillId="5" fontId="14" numFmtId="0" xfId="0" applyAlignment="1" applyBorder="1" applyFont="1">
      <alignment vertical="center"/>
    </xf>
    <xf borderId="24" fillId="0" fontId="14" numFmtId="0" xfId="0" applyAlignment="1" applyBorder="1" applyFont="1">
      <alignment horizontal="left" shrinkToFit="0" vertical="center" wrapText="1"/>
    </xf>
    <xf borderId="10" fillId="3" fontId="14" numFmtId="0" xfId="0" applyAlignment="1" applyBorder="1" applyFont="1">
      <alignment vertical="center"/>
    </xf>
    <xf borderId="46" fillId="0" fontId="14" numFmtId="0" xfId="0" applyAlignment="1" applyBorder="1" applyFont="1">
      <alignment vertical="center"/>
    </xf>
    <xf borderId="13" fillId="0" fontId="14" numFmtId="0" xfId="0" applyAlignment="1" applyBorder="1" applyFont="1">
      <alignment vertical="center"/>
    </xf>
    <xf borderId="26" fillId="0" fontId="14" numFmtId="0" xfId="0" applyAlignment="1" applyBorder="1" applyFont="1">
      <alignment horizontal="center" vertical="center"/>
    </xf>
    <xf borderId="10" fillId="14" fontId="14" numFmtId="0" xfId="0" applyAlignment="1" applyBorder="1" applyFont="1">
      <alignment vertical="center"/>
    </xf>
    <xf borderId="10" fillId="12" fontId="14" numFmtId="0" xfId="0" applyAlignment="1" applyBorder="1" applyFont="1">
      <alignment vertical="center"/>
    </xf>
    <xf borderId="10" fillId="15" fontId="40" numFmtId="0" xfId="0" applyAlignment="1" applyBorder="1" applyFill="1" applyFont="1">
      <alignment horizontal="center" vertical="center"/>
    </xf>
    <xf borderId="46" fillId="5" fontId="14" numFmtId="0" xfId="0" applyAlignment="1" applyBorder="1" applyFont="1">
      <alignment vertical="center"/>
    </xf>
    <xf borderId="24" fillId="0" fontId="14" numFmtId="0" xfId="0" applyAlignment="1" applyBorder="1" applyFont="1">
      <alignment horizontal="left" vertical="center"/>
    </xf>
    <xf borderId="10" fillId="12" fontId="24" numFmtId="0" xfId="0" applyAlignment="1" applyBorder="1" applyFont="1">
      <alignment horizontal="center" vertical="center"/>
    </xf>
    <xf borderId="10" fillId="15" fontId="39" numFmtId="0" xfId="0" applyAlignment="1" applyBorder="1" applyFont="1">
      <alignment horizontal="center" vertical="center"/>
    </xf>
    <xf borderId="24" fillId="9" fontId="14" numFmtId="0" xfId="0" applyAlignment="1" applyBorder="1" applyFont="1">
      <alignment horizontal="left" vertical="center"/>
    </xf>
    <xf borderId="11" fillId="0" fontId="14" numFmtId="0" xfId="0" applyAlignment="1" applyBorder="1" applyFont="1">
      <alignment vertical="center"/>
    </xf>
    <xf borderId="0" fillId="0" fontId="24" numFmtId="0" xfId="0" applyAlignment="1" applyFont="1">
      <alignment vertical="bottom"/>
    </xf>
    <xf borderId="0" fillId="0" fontId="46" numFmtId="0" xfId="0" applyAlignment="1" applyFont="1">
      <alignment vertical="bottom"/>
    </xf>
    <xf borderId="0" fillId="0" fontId="24" numFmtId="0" xfId="0" applyAlignment="1" applyFont="1">
      <alignment horizontal="center" vertical="bottom"/>
    </xf>
    <xf borderId="47" fillId="16" fontId="47" numFmtId="0" xfId="0" applyAlignment="1" applyBorder="1" applyFill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47" fillId="0" fontId="47" numFmtId="0" xfId="0" applyAlignment="1" applyBorder="1" applyFont="1">
      <alignment vertical="center"/>
    </xf>
    <xf borderId="47" fillId="0" fontId="48" numFmtId="167" xfId="0" applyAlignment="1" applyBorder="1" applyFont="1" applyNumberFormat="1">
      <alignment vertical="center"/>
    </xf>
    <xf borderId="48" fillId="16" fontId="49" numFmtId="167" xfId="0" applyAlignment="1" applyBorder="1" applyFont="1" applyNumberFormat="1">
      <alignment vertical="center"/>
    </xf>
    <xf borderId="49" fillId="0" fontId="4" numFmtId="0" xfId="0" applyAlignment="1" applyBorder="1" applyFont="1">
      <alignment horizontal="center" shrinkToFit="0" vertical="center" wrapText="1"/>
    </xf>
    <xf borderId="50" fillId="0" fontId="2" numFmtId="0" xfId="0" applyAlignment="1" applyBorder="1" applyFont="1">
      <alignment vertical="center"/>
    </xf>
    <xf borderId="51" fillId="0" fontId="4" numFmtId="0" xfId="0" applyAlignment="1" applyBorder="1" applyFont="1">
      <alignment horizontal="center" vertical="bottom"/>
    </xf>
    <xf borderId="52" fillId="0" fontId="4" numFmtId="167" xfId="0" applyAlignment="1" applyBorder="1" applyFont="1" applyNumberFormat="1">
      <alignment horizontal="center" vertical="center"/>
    </xf>
    <xf borderId="53" fillId="0" fontId="4" numFmtId="0" xfId="0" applyAlignment="1" applyBorder="1" applyFont="1">
      <alignment horizontal="center" vertical="center"/>
    </xf>
    <xf borderId="54" fillId="16" fontId="4" numFmtId="167" xfId="0" applyAlignment="1" applyBorder="1" applyFont="1" applyNumberFormat="1">
      <alignment horizontal="center" vertical="center"/>
    </xf>
    <xf borderId="0" fillId="0" fontId="50" numFmtId="0" xfId="0" applyAlignment="1" applyFont="1">
      <alignment vertical="center"/>
    </xf>
    <xf borderId="55" fillId="0" fontId="4" numFmtId="0" xfId="0" applyAlignment="1" applyBorder="1" applyFont="1">
      <alignment horizontal="center" shrinkToFit="0" vertical="center" wrapText="1"/>
    </xf>
    <xf borderId="56" fillId="0" fontId="4" numFmtId="0" xfId="0" applyAlignment="1" applyBorder="1" applyFont="1">
      <alignment shrinkToFit="0" vertical="center" wrapText="1"/>
    </xf>
    <xf borderId="56" fillId="0" fontId="4" numFmtId="0" xfId="0" applyAlignment="1" applyBorder="1" applyFont="1">
      <alignment horizontal="center" shrinkToFit="0" vertical="center" wrapText="1"/>
    </xf>
    <xf borderId="56" fillId="0" fontId="51" numFmtId="167" xfId="0" applyAlignment="1" applyBorder="1" applyFont="1" applyNumberFormat="1">
      <alignment horizontal="center" vertical="center"/>
    </xf>
    <xf borderId="57" fillId="0" fontId="4" numFmtId="0" xfId="0" applyAlignment="1" applyBorder="1" applyFont="1">
      <alignment horizontal="left" shrinkToFit="0" vertical="center" wrapText="1"/>
    </xf>
    <xf borderId="58" fillId="16" fontId="51" numFmtId="167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52" numFmtId="167" xfId="0" applyAlignment="1" applyBorder="1" applyFont="1" applyNumberFormat="1">
      <alignment horizontal="center" vertical="center"/>
    </xf>
    <xf borderId="27" fillId="0" fontId="4" numFmtId="0" xfId="0" applyAlignment="1" applyBorder="1" applyFont="1">
      <alignment horizontal="left" vertical="center"/>
    </xf>
    <xf borderId="59" fillId="16" fontId="52" numFmtId="167" xfId="0" applyAlignment="1" applyBorder="1" applyFont="1" applyNumberFormat="1">
      <alignment horizontal="center" vertical="center"/>
    </xf>
    <xf borderId="24" fillId="0" fontId="4" numFmtId="0" xfId="0" applyAlignment="1" applyBorder="1" applyFont="1">
      <alignment shrinkToFit="0" vertical="center" wrapText="1"/>
    </xf>
    <xf borderId="24" fillId="0" fontId="4" numFmtId="167" xfId="0" applyAlignment="1" applyBorder="1" applyFont="1" applyNumberFormat="1">
      <alignment horizontal="center" vertical="center"/>
    </xf>
    <xf borderId="60" fillId="0" fontId="4" numFmtId="0" xfId="0" applyAlignment="1" applyBorder="1" applyFont="1">
      <alignment horizontal="left" vertical="center"/>
    </xf>
    <xf borderId="61" fillId="16" fontId="4" numFmtId="167" xfId="0" applyAlignment="1" applyBorder="1" applyFont="1" applyNumberFormat="1">
      <alignment horizontal="center" vertical="center"/>
    </xf>
    <xf borderId="62" fillId="16" fontId="4" numFmtId="167" xfId="0" applyAlignment="1" applyBorder="1" applyFont="1" applyNumberFormat="1">
      <alignment horizontal="center" vertical="center"/>
    </xf>
    <xf borderId="23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28" fillId="0" fontId="4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right" vertical="center"/>
    </xf>
    <xf borderId="29" fillId="0" fontId="4" numFmtId="0" xfId="0" applyAlignment="1" applyBorder="1" applyFont="1">
      <alignment horizontal="center" shrinkToFit="0" vertical="center" wrapText="1"/>
    </xf>
    <xf borderId="30" fillId="0" fontId="4" numFmtId="0" xfId="0" applyAlignment="1" applyBorder="1" applyFont="1">
      <alignment shrinkToFit="0" vertical="center" wrapText="1"/>
    </xf>
    <xf borderId="30" fillId="9" fontId="4" numFmtId="0" xfId="0" applyAlignment="1" applyBorder="1" applyFont="1">
      <alignment horizontal="center" shrinkToFit="0" vertical="center" wrapText="1"/>
    </xf>
    <xf borderId="30" fillId="9" fontId="52" numFmtId="167" xfId="0" applyAlignment="1" applyBorder="1" applyFont="1" applyNumberFormat="1">
      <alignment horizontal="center" vertical="center"/>
    </xf>
    <xf borderId="34" fillId="9" fontId="4" numFmtId="0" xfId="0" applyAlignment="1" applyBorder="1" applyFont="1">
      <alignment horizontal="left" shrinkToFit="0" vertical="center" wrapText="1"/>
    </xf>
    <xf borderId="8" fillId="9" fontId="4" numFmtId="0" xfId="0" applyAlignment="1" applyBorder="1" applyFont="1">
      <alignment horizontal="left" shrinkToFit="0" vertical="center" wrapText="1"/>
    </xf>
    <xf borderId="55" fillId="0" fontId="4" numFmtId="0" xfId="0" applyAlignment="1" applyBorder="1" applyFont="1">
      <alignment horizontal="center" vertical="center"/>
    </xf>
    <xf borderId="56" fillId="0" fontId="4" numFmtId="167" xfId="0" applyAlignment="1" applyBorder="1" applyFont="1" applyNumberFormat="1">
      <alignment horizontal="center" vertical="center"/>
    </xf>
    <xf borderId="57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26" fillId="0" fontId="4" numFmtId="0" xfId="0" applyAlignment="1" applyBorder="1" applyFont="1">
      <alignment shrinkToFit="0" vertical="center" wrapText="1"/>
    </xf>
    <xf borderId="10" fillId="0" fontId="4" numFmtId="167" xfId="0" applyAlignment="1" applyBorder="1" applyFont="1" applyNumberFormat="1">
      <alignment horizontal="center" vertical="center"/>
    </xf>
    <xf borderId="63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shrinkToFit="0" vertical="center" wrapText="1"/>
    </xf>
    <xf borderId="64" fillId="0" fontId="2" numFmtId="0" xfId="0" applyAlignment="1" applyBorder="1" applyFont="1">
      <alignment vertical="center"/>
    </xf>
    <xf borderId="30" fillId="0" fontId="4" numFmtId="0" xfId="0" applyAlignment="1" applyBorder="1" applyFont="1">
      <alignment horizontal="center" shrinkToFit="0" vertical="center" wrapText="1"/>
    </xf>
    <xf borderId="30" fillId="0" fontId="4" numFmtId="167" xfId="0" applyAlignment="1" applyBorder="1" applyFont="1" applyNumberFormat="1">
      <alignment horizontal="center" vertical="center"/>
    </xf>
    <xf borderId="34" fillId="0" fontId="4" numFmtId="0" xfId="0" applyAlignment="1" applyBorder="1" applyFont="1">
      <alignment shrinkToFit="0" vertical="center" wrapText="1"/>
    </xf>
    <xf borderId="0" fillId="0" fontId="53" numFmtId="0" xfId="0" applyAlignment="1" applyFont="1">
      <alignment horizontal="left" vertical="center"/>
    </xf>
    <xf borderId="0" fillId="0" fontId="54" numFmtId="0" xfId="0" applyAlignment="1" applyFont="1">
      <alignment vertical="center"/>
    </xf>
    <xf borderId="0" fillId="0" fontId="54" numFmtId="168" xfId="0" applyAlignment="1" applyFont="1" applyNumberFormat="1">
      <alignment vertical="center"/>
    </xf>
    <xf borderId="10" fillId="0" fontId="54" numFmtId="168" xfId="0" applyAlignment="1" applyBorder="1" applyFont="1" applyNumberFormat="1">
      <alignment vertical="center"/>
    </xf>
    <xf borderId="1" fillId="0" fontId="54" numFmtId="0" xfId="0" applyAlignment="1" applyBorder="1" applyFont="1">
      <alignment vertical="center"/>
    </xf>
    <xf borderId="2" fillId="0" fontId="54" numFmtId="0" xfId="0" applyAlignment="1" applyBorder="1" applyFont="1">
      <alignment vertical="center"/>
    </xf>
    <xf borderId="2" fillId="0" fontId="54" numFmtId="168" xfId="0" applyAlignment="1" applyBorder="1" applyFont="1" applyNumberFormat="1">
      <alignment vertical="center"/>
    </xf>
    <xf borderId="10" fillId="0" fontId="55" numFmtId="168" xfId="0" applyAlignment="1" applyBorder="1" applyFont="1" applyNumberFormat="1">
      <alignment horizontal="center" vertical="center"/>
    </xf>
    <xf borderId="14" fillId="0" fontId="54" numFmtId="0" xfId="0" applyAlignment="1" applyBorder="1" applyFont="1">
      <alignment vertical="center"/>
    </xf>
    <xf borderId="36" fillId="9" fontId="54" numFmtId="0" xfId="0" applyAlignment="1" applyBorder="1" applyFont="1">
      <alignment vertical="center"/>
    </xf>
    <xf borderId="37" fillId="9" fontId="54" numFmtId="0" xfId="0" applyAlignment="1" applyBorder="1" applyFont="1">
      <alignment vertical="center"/>
    </xf>
    <xf borderId="38" fillId="9" fontId="54" numFmtId="168" xfId="0" applyAlignment="1" applyBorder="1" applyFont="1" applyNumberFormat="1">
      <alignment vertical="center"/>
    </xf>
    <xf borderId="10" fillId="9" fontId="54" numFmtId="168" xfId="0" applyAlignment="1" applyBorder="1" applyFont="1" applyNumberFormat="1">
      <alignment horizontal="center" vertical="center"/>
    </xf>
    <xf borderId="11" fillId="0" fontId="54" numFmtId="0" xfId="0" applyAlignment="1" applyBorder="1" applyFont="1">
      <alignment vertical="center"/>
    </xf>
    <xf borderId="12" fillId="0" fontId="54" numFmtId="0" xfId="0" applyAlignment="1" applyBorder="1" applyFont="1">
      <alignment vertical="center"/>
    </xf>
    <xf borderId="13" fillId="0" fontId="54" numFmtId="168" xfId="0" applyAlignment="1" applyBorder="1" applyFont="1" applyNumberFormat="1">
      <alignment vertical="center"/>
    </xf>
    <xf borderId="13" fillId="0" fontId="54" numFmtId="0" xfId="0" applyAlignment="1" applyBorder="1" applyFont="1">
      <alignment vertical="center"/>
    </xf>
    <xf borderId="65" fillId="0" fontId="54" numFmtId="0" xfId="0" applyAlignment="1" applyBorder="1" applyFont="1">
      <alignment horizontal="right" vertical="center"/>
    </xf>
    <xf borderId="10" fillId="0" fontId="54" numFmtId="0" xfId="0" applyAlignment="1" applyBorder="1" applyFont="1">
      <alignment horizontal="right" vertical="center"/>
    </xf>
    <xf borderId="10" fillId="0" fontId="54" numFmtId="9" xfId="0" applyAlignment="1" applyBorder="1" applyFont="1" applyNumberFormat="1">
      <alignment vertical="center"/>
    </xf>
    <xf borderId="24" fillId="0" fontId="54" numFmtId="0" xfId="0" applyAlignment="1" applyBorder="1" applyFont="1">
      <alignment horizontal="right" vertical="center"/>
    </xf>
    <xf borderId="24" fillId="0" fontId="54" numFmtId="9" xfId="0" applyAlignment="1" applyBorder="1" applyFont="1" applyNumberFormat="1">
      <alignment vertical="center"/>
    </xf>
    <xf borderId="1" fillId="0" fontId="54" numFmtId="0" xfId="0" applyAlignment="1" applyBorder="1" applyFont="1">
      <alignment horizontal="left" vertical="center"/>
    </xf>
    <xf borderId="65" fillId="0" fontId="54" numFmtId="0" xfId="0" applyAlignment="1" applyBorder="1" applyFont="1">
      <alignment horizontal="center" shrinkToFit="0" vertical="center" wrapText="1"/>
    </xf>
    <xf borderId="65" fillId="0" fontId="2" numFmtId="0" xfId="0" applyAlignment="1" applyBorder="1" applyFont="1">
      <alignment vertical="center"/>
    </xf>
    <xf borderId="10" fillId="9" fontId="55" numFmtId="0" xfId="0" applyAlignment="1" applyBorder="1" applyFont="1">
      <alignment horizontal="right" vertical="center"/>
    </xf>
    <xf borderId="10" fillId="9" fontId="54" numFmtId="168" xfId="0" applyAlignment="1" applyBorder="1" applyFont="1" applyNumberFormat="1">
      <alignment vertical="center"/>
    </xf>
    <xf borderId="4" fillId="0" fontId="54" numFmtId="0" xfId="0" applyAlignment="1" applyBorder="1" applyFont="1">
      <alignment vertical="center"/>
    </xf>
    <xf borderId="0" fillId="0" fontId="24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47625</xdr:rowOff>
    </xdr:from>
    <xdr:ext cx="1066800" cy="257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56</xdr:col>
      <xdr:colOff>257175</xdr:colOff>
      <xdr:row>24</xdr:row>
      <xdr:rowOff>295275</xdr:rowOff>
    </xdr:from>
    <xdr:ext cx="1181100" cy="723900"/>
    <xdr:sp>
      <xdr:nvSpPr>
        <xdr:cNvPr id="3" name="Shape 3"/>
        <xdr:cNvSpPr/>
      </xdr:nvSpPr>
      <xdr:spPr>
        <a:xfrm>
          <a:off x="4760213" y="3422813"/>
          <a:ext cx="1171575" cy="714375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10000" y="22500"/>
              </a:moveTo>
              <a:lnTo>
                <a:pt x="-46000" y="135000"/>
              </a:lnTo>
            </a:path>
          </a:pathLst>
        </a:custGeom>
        <a:gradFill>
          <a:gsLst>
            <a:gs pos="0">
              <a:srgbClr val="FFDC9B"/>
            </a:gs>
            <a:gs pos="50000">
              <a:srgbClr val="FFD68D"/>
            </a:gs>
            <a:gs pos="100000">
              <a:srgbClr val="FFD478"/>
            </a:gs>
          </a:gsLst>
          <a:lin ang="5400000" scaled="0"/>
        </a:gra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合格證</a:t>
          </a:r>
          <a:endParaRPr sz="1400"/>
        </a:p>
      </xdr:txBody>
    </xdr:sp>
    <xdr:clientData fLocksWithSheet="0"/>
  </xdr:oneCellAnchor>
  <xdr:oneCellAnchor>
    <xdr:from>
      <xdr:col>1</xdr:col>
      <xdr:colOff>409575</xdr:colOff>
      <xdr:row>0</xdr:row>
      <xdr:rowOff>190500</xdr:rowOff>
    </xdr:from>
    <xdr:ext cx="3086100" cy="771525"/>
    <xdr:pic>
      <xdr:nvPicPr>
        <xdr:cNvPr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104775</xdr:rowOff>
    </xdr:from>
    <xdr:ext cx="1857375" cy="4476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9" width="8.33"/>
    <col customWidth="1" min="10" max="26" width="6.78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B2" s="7"/>
      <c r="C2" s="7"/>
      <c r="D2" s="7"/>
      <c r="E2" s="7"/>
      <c r="F2" s="7"/>
      <c r="G2" s="7"/>
      <c r="H2" s="7"/>
      <c r="I2" s="8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9"/>
      <c r="B3" s="10"/>
      <c r="C3" s="10"/>
      <c r="D3" s="10"/>
      <c r="E3" s="10"/>
      <c r="F3" s="10"/>
      <c r="G3" s="10"/>
      <c r="H3" s="10"/>
      <c r="I3" s="11"/>
      <c r="J3" s="1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3" t="s">
        <v>1</v>
      </c>
      <c r="B4" s="14" t="s">
        <v>2</v>
      </c>
      <c r="C4" s="15"/>
      <c r="D4" s="15"/>
      <c r="E4" s="15"/>
      <c r="F4" s="15"/>
      <c r="G4" s="15"/>
      <c r="H4" s="15"/>
      <c r="I4" s="1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9.75" customHeight="1">
      <c r="A5" s="17"/>
      <c r="B5" s="14"/>
      <c r="C5" s="15"/>
      <c r="D5" s="15"/>
      <c r="E5" s="15"/>
      <c r="F5" s="15"/>
      <c r="G5" s="15"/>
      <c r="H5" s="15"/>
      <c r="I5" s="1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13" t="s">
        <v>3</v>
      </c>
      <c r="B6" s="14" t="s">
        <v>4</v>
      </c>
      <c r="C6" s="15"/>
      <c r="D6" s="15"/>
      <c r="E6" s="15"/>
      <c r="F6" s="15"/>
      <c r="G6" s="15"/>
      <c r="H6" s="15"/>
      <c r="I6" s="1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.75" customHeight="1">
      <c r="A7" s="17"/>
      <c r="B7" s="14"/>
      <c r="C7" s="15"/>
      <c r="D7" s="15"/>
      <c r="E7" s="15"/>
      <c r="F7" s="15"/>
      <c r="G7" s="15"/>
      <c r="H7" s="15"/>
      <c r="I7" s="1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3" t="s">
        <v>5</v>
      </c>
      <c r="B8" s="14" t="s">
        <v>6</v>
      </c>
      <c r="C8" s="15"/>
      <c r="D8" s="15"/>
      <c r="E8" s="15"/>
      <c r="F8" s="15"/>
      <c r="G8" s="15"/>
      <c r="H8" s="15"/>
      <c r="I8" s="1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.75" customHeight="1">
      <c r="A9" s="17"/>
      <c r="B9" s="14"/>
      <c r="C9" s="15"/>
      <c r="D9" s="15"/>
      <c r="E9" s="15"/>
      <c r="F9" s="15"/>
      <c r="G9" s="15"/>
      <c r="H9" s="15"/>
      <c r="I9" s="1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13" t="s">
        <v>7</v>
      </c>
      <c r="B10" s="14" t="s">
        <v>8</v>
      </c>
      <c r="C10" s="15"/>
      <c r="D10" s="15"/>
      <c r="E10" s="15"/>
      <c r="F10" s="15"/>
      <c r="G10" s="15"/>
      <c r="H10" s="15"/>
      <c r="I10" s="1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.75" customHeight="1">
      <c r="A11" s="17"/>
      <c r="B11" s="14"/>
      <c r="C11" s="15"/>
      <c r="D11" s="15"/>
      <c r="E11" s="15"/>
      <c r="F11" s="15"/>
      <c r="G11" s="15"/>
      <c r="H11" s="15"/>
      <c r="I11" s="1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13" t="s">
        <v>9</v>
      </c>
      <c r="B12" s="14" t="s">
        <v>10</v>
      </c>
      <c r="C12" s="15"/>
      <c r="D12" s="15"/>
      <c r="E12" s="15"/>
      <c r="F12" s="15"/>
      <c r="G12" s="15"/>
      <c r="H12" s="15"/>
      <c r="I12" s="1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.75" customHeight="1">
      <c r="A13" s="17"/>
      <c r="B13" s="14"/>
      <c r="C13" s="15"/>
      <c r="D13" s="15"/>
      <c r="E13" s="15"/>
      <c r="F13" s="15"/>
      <c r="G13" s="15"/>
      <c r="H13" s="15"/>
      <c r="I13" s="1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18" t="s">
        <v>11</v>
      </c>
      <c r="B14" s="19" t="s">
        <v>12</v>
      </c>
      <c r="C14" s="15"/>
      <c r="D14" s="15"/>
      <c r="E14" s="15"/>
      <c r="F14" s="15"/>
      <c r="G14" s="15"/>
      <c r="H14" s="15"/>
      <c r="I14" s="1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9.75" customHeight="1">
      <c r="A15" s="17"/>
      <c r="B15" s="14"/>
      <c r="C15" s="15"/>
      <c r="D15" s="15"/>
      <c r="E15" s="15"/>
      <c r="F15" s="15"/>
      <c r="G15" s="15"/>
      <c r="H15" s="15"/>
      <c r="I15" s="1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13" t="s">
        <v>13</v>
      </c>
      <c r="B16" s="14" t="s">
        <v>14</v>
      </c>
      <c r="C16" s="15"/>
      <c r="D16" s="15"/>
      <c r="E16" s="15"/>
      <c r="F16" s="15"/>
      <c r="G16" s="15"/>
      <c r="H16" s="15"/>
      <c r="I16" s="1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/>
      <c r="B17" s="21"/>
      <c r="C17" s="21"/>
      <c r="D17" s="21"/>
      <c r="E17" s="21"/>
      <c r="F17" s="21"/>
      <c r="G17" s="21"/>
      <c r="H17" s="21"/>
      <c r="I17" s="22"/>
      <c r="J17" s="2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4" t="s">
        <v>15</v>
      </c>
      <c r="B18" s="25" t="s">
        <v>16</v>
      </c>
      <c r="C18" s="26"/>
      <c r="D18" s="26"/>
      <c r="E18" s="26"/>
      <c r="F18" s="27"/>
      <c r="G18" s="28" t="s">
        <v>17</v>
      </c>
      <c r="H18" s="24" t="s">
        <v>18</v>
      </c>
      <c r="I18" s="29" t="s">
        <v>19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0.0" customHeight="1">
      <c r="A19" s="30">
        <v>1.0</v>
      </c>
      <c r="B19" s="31" t="s">
        <v>20</v>
      </c>
      <c r="C19" s="26"/>
      <c r="D19" s="26"/>
      <c r="E19" s="26"/>
      <c r="F19" s="27"/>
      <c r="G19" s="32" t="s">
        <v>21</v>
      </c>
      <c r="H19" s="30" t="s">
        <v>22</v>
      </c>
      <c r="I19" s="33">
        <v>45145.0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0.0" customHeight="1">
      <c r="A20" s="30">
        <v>2.0</v>
      </c>
      <c r="B20" s="31" t="s">
        <v>23</v>
      </c>
      <c r="C20" s="26"/>
      <c r="D20" s="26"/>
      <c r="E20" s="26"/>
      <c r="F20" s="27"/>
      <c r="G20" s="32" t="s">
        <v>21</v>
      </c>
      <c r="H20" s="30" t="s">
        <v>22</v>
      </c>
      <c r="I20" s="33">
        <v>45145.0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0.0" customHeight="1">
      <c r="A21" s="30">
        <v>3.0</v>
      </c>
      <c r="B21" s="31" t="s">
        <v>24</v>
      </c>
      <c r="C21" s="26"/>
      <c r="D21" s="26"/>
      <c r="E21" s="26"/>
      <c r="F21" s="27"/>
      <c r="G21" s="32" t="s">
        <v>21</v>
      </c>
      <c r="H21" s="30" t="s">
        <v>22</v>
      </c>
      <c r="I21" s="33">
        <v>45145.0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0.75" customHeight="1">
      <c r="A22" s="30">
        <v>4.0</v>
      </c>
      <c r="B22" s="31" t="s">
        <v>25</v>
      </c>
      <c r="C22" s="26"/>
      <c r="D22" s="26"/>
      <c r="E22" s="26"/>
      <c r="F22" s="27"/>
      <c r="G22" s="32" t="s">
        <v>26</v>
      </c>
      <c r="H22" s="32" t="s">
        <v>26</v>
      </c>
      <c r="I22" s="32" t="s">
        <v>26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0.75" customHeight="1">
      <c r="A23" s="30">
        <v>5.0</v>
      </c>
      <c r="B23" s="31" t="s">
        <v>27</v>
      </c>
      <c r="C23" s="26"/>
      <c r="D23" s="26"/>
      <c r="E23" s="26"/>
      <c r="F23" s="27"/>
      <c r="G23" s="32" t="s">
        <v>26</v>
      </c>
      <c r="H23" s="32" t="s">
        <v>26</v>
      </c>
      <c r="I23" s="32" t="s">
        <v>26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75" customHeight="1">
      <c r="A24" s="30">
        <v>6.0</v>
      </c>
      <c r="B24" s="31" t="s">
        <v>28</v>
      </c>
      <c r="C24" s="26"/>
      <c r="D24" s="26"/>
      <c r="E24" s="26"/>
      <c r="F24" s="27"/>
      <c r="G24" s="32" t="s">
        <v>21</v>
      </c>
      <c r="H24" s="30" t="s">
        <v>22</v>
      </c>
      <c r="I24" s="33">
        <v>45145.0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0.75" customHeight="1">
      <c r="A25" s="30">
        <v>7.0</v>
      </c>
      <c r="B25" s="34" t="s">
        <v>29</v>
      </c>
      <c r="C25" s="26"/>
      <c r="D25" s="26"/>
      <c r="E25" s="26"/>
      <c r="F25" s="27"/>
      <c r="G25" s="32" t="s">
        <v>21</v>
      </c>
      <c r="H25" s="30" t="s">
        <v>22</v>
      </c>
      <c r="I25" s="33">
        <v>45145.0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0.75" customHeight="1">
      <c r="A26" s="30">
        <v>8.0</v>
      </c>
      <c r="B26" s="31" t="s">
        <v>30</v>
      </c>
      <c r="C26" s="26"/>
      <c r="D26" s="26"/>
      <c r="E26" s="26"/>
      <c r="F26" s="27"/>
      <c r="G26" s="32" t="s">
        <v>21</v>
      </c>
      <c r="H26" s="30" t="s">
        <v>22</v>
      </c>
      <c r="I26" s="33">
        <v>45145.0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0.75" customHeight="1">
      <c r="A27" s="30">
        <v>9.0</v>
      </c>
      <c r="B27" s="31" t="s">
        <v>31</v>
      </c>
      <c r="C27" s="26"/>
      <c r="D27" s="26"/>
      <c r="E27" s="26"/>
      <c r="F27" s="27"/>
      <c r="G27" s="32" t="s">
        <v>21</v>
      </c>
      <c r="H27" s="30" t="s">
        <v>22</v>
      </c>
      <c r="I27" s="33">
        <v>45145.0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0.75" customHeight="1">
      <c r="A28" s="30">
        <v>10.0</v>
      </c>
      <c r="B28" s="31" t="s">
        <v>32</v>
      </c>
      <c r="C28" s="26"/>
      <c r="D28" s="26"/>
      <c r="E28" s="26"/>
      <c r="F28" s="27"/>
      <c r="G28" s="32" t="s">
        <v>21</v>
      </c>
      <c r="H28" s="30" t="s">
        <v>33</v>
      </c>
      <c r="I28" s="33">
        <v>45145.0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35" t="s">
        <v>34</v>
      </c>
      <c r="B29" s="2"/>
      <c r="C29" s="2"/>
      <c r="D29" s="2"/>
      <c r="E29" s="2"/>
      <c r="F29" s="2"/>
      <c r="G29" s="2"/>
      <c r="H29" s="2"/>
      <c r="I29" s="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36"/>
      <c r="I30" s="3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36"/>
      <c r="I31" s="3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36"/>
      <c r="I32" s="3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36"/>
      <c r="I33" s="3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36"/>
      <c r="I34" s="3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36"/>
      <c r="I35" s="3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6"/>
      <c r="B36" s="7"/>
      <c r="C36" s="7"/>
      <c r="D36" s="7"/>
      <c r="E36" s="7"/>
      <c r="F36" s="7"/>
      <c r="G36" s="7"/>
      <c r="H36" s="7"/>
      <c r="I36" s="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38" t="s">
        <v>35</v>
      </c>
      <c r="B37" s="27"/>
      <c r="C37" s="39"/>
      <c r="D37" s="26"/>
      <c r="E37" s="26"/>
      <c r="F37" s="26"/>
      <c r="G37" s="26"/>
      <c r="H37" s="26"/>
      <c r="I37" s="2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38" t="s">
        <v>36</v>
      </c>
      <c r="B38" s="27"/>
      <c r="C38" s="39"/>
      <c r="D38" s="26"/>
      <c r="E38" s="26"/>
      <c r="F38" s="26"/>
      <c r="G38" s="26"/>
      <c r="H38" s="26"/>
      <c r="I38" s="2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38" t="s">
        <v>37</v>
      </c>
      <c r="B39" s="27"/>
      <c r="C39" s="39"/>
      <c r="D39" s="26"/>
      <c r="E39" s="26"/>
      <c r="F39" s="26"/>
      <c r="G39" s="26"/>
      <c r="H39" s="26"/>
      <c r="I39" s="2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38" t="s">
        <v>38</v>
      </c>
      <c r="B40" s="27"/>
      <c r="C40" s="39"/>
      <c r="D40" s="26"/>
      <c r="E40" s="26"/>
      <c r="F40" s="26"/>
      <c r="G40" s="26"/>
      <c r="H40" s="26"/>
      <c r="I40" s="2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38" t="s">
        <v>39</v>
      </c>
      <c r="B41" s="27"/>
      <c r="C41" s="39"/>
      <c r="D41" s="26"/>
      <c r="E41" s="26"/>
      <c r="F41" s="26"/>
      <c r="G41" s="26"/>
      <c r="H41" s="26"/>
      <c r="I41" s="2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38" t="s">
        <v>40</v>
      </c>
      <c r="B42" s="26"/>
      <c r="C42" s="27"/>
      <c r="D42" s="38" t="s">
        <v>41</v>
      </c>
      <c r="E42" s="26"/>
      <c r="F42" s="27"/>
      <c r="G42" s="38" t="s">
        <v>42</v>
      </c>
      <c r="H42" s="26"/>
      <c r="I42" s="2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0"/>
      <c r="B43" s="2"/>
      <c r="C43" s="3"/>
      <c r="D43" s="40"/>
      <c r="E43" s="2"/>
      <c r="F43" s="3"/>
      <c r="G43" s="40" t="s">
        <v>43</v>
      </c>
      <c r="H43" s="2"/>
      <c r="I43" s="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6"/>
      <c r="C44" s="37"/>
      <c r="D44" s="36"/>
      <c r="F44" s="37"/>
      <c r="G44" s="36"/>
      <c r="I44" s="3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/>
      <c r="B45" s="7"/>
      <c r="C45" s="8"/>
      <c r="D45" s="6"/>
      <c r="E45" s="7"/>
      <c r="F45" s="8"/>
      <c r="G45" s="6"/>
      <c r="H45" s="7"/>
      <c r="I45" s="8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 t="s">
        <v>44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9">
    <mergeCell ref="A1:I2"/>
    <mergeCell ref="B18:F18"/>
    <mergeCell ref="B19:F19"/>
    <mergeCell ref="B20:F20"/>
    <mergeCell ref="B21:F21"/>
    <mergeCell ref="B22:F22"/>
    <mergeCell ref="B23:F23"/>
    <mergeCell ref="A37:B37"/>
    <mergeCell ref="A38:B38"/>
    <mergeCell ref="A39:B39"/>
    <mergeCell ref="A40:B40"/>
    <mergeCell ref="A41:B41"/>
    <mergeCell ref="A42:C42"/>
    <mergeCell ref="A43:C45"/>
    <mergeCell ref="C38:I38"/>
    <mergeCell ref="C39:I39"/>
    <mergeCell ref="C40:I40"/>
    <mergeCell ref="C41:I41"/>
    <mergeCell ref="D42:F42"/>
    <mergeCell ref="G42:I42"/>
    <mergeCell ref="D43:F45"/>
    <mergeCell ref="G43:I45"/>
    <mergeCell ref="B24:F24"/>
    <mergeCell ref="B25:F25"/>
    <mergeCell ref="B26:F26"/>
    <mergeCell ref="B27:F27"/>
    <mergeCell ref="B28:F28"/>
    <mergeCell ref="A29:I36"/>
    <mergeCell ref="C37:I37"/>
  </mergeCells>
  <printOptions horizontalCentered="1"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6.89"/>
    <col customWidth="1" min="2" max="2" width="39.89"/>
    <col customWidth="1" min="3" max="4" width="4.89"/>
    <col customWidth="1" min="5" max="8" width="9.11"/>
    <col customWidth="1" min="9" max="9" width="14.11"/>
    <col customWidth="1" min="10" max="12" width="6.78"/>
    <col customWidth="1" min="13" max="14" width="8.33"/>
    <col customWidth="1" min="15" max="49" width="4.22"/>
    <col customWidth="1" min="50" max="63" width="4.11"/>
  </cols>
  <sheetData>
    <row r="1" ht="81.75" customHeight="1">
      <c r="A1" s="41"/>
      <c r="B1" s="42" t="s">
        <v>45</v>
      </c>
      <c r="C1" s="43" t="s">
        <v>46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5"/>
      <c r="AN1" s="46" t="s">
        <v>47</v>
      </c>
      <c r="AO1" s="45"/>
      <c r="AP1" s="47"/>
      <c r="AQ1" s="44"/>
      <c r="AR1" s="45"/>
      <c r="AS1" s="46" t="s">
        <v>48</v>
      </c>
      <c r="AT1" s="45"/>
      <c r="AU1" s="47"/>
      <c r="AV1" s="44"/>
      <c r="AW1" s="45"/>
      <c r="AX1" s="46" t="s">
        <v>49</v>
      </c>
      <c r="AY1" s="45"/>
      <c r="AZ1" s="48"/>
      <c r="BA1" s="44"/>
      <c r="BB1" s="45"/>
      <c r="BC1" s="46" t="s">
        <v>50</v>
      </c>
      <c r="BD1" s="45"/>
      <c r="BE1" s="49"/>
      <c r="BF1" s="44"/>
      <c r="BG1" s="44"/>
      <c r="BH1" s="44"/>
      <c r="BI1" s="44"/>
      <c r="BJ1" s="44"/>
      <c r="BK1" s="50"/>
    </row>
    <row r="2" ht="33.0" customHeight="1">
      <c r="A2" s="41"/>
      <c r="B2" s="51" t="s">
        <v>51</v>
      </c>
      <c r="C2" s="52" t="s">
        <v>52</v>
      </c>
      <c r="D2" s="26"/>
      <c r="E2" s="26"/>
      <c r="F2" s="26"/>
      <c r="G2" s="26"/>
      <c r="H2" s="26"/>
      <c r="I2" s="26"/>
      <c r="J2" s="26"/>
      <c r="K2" s="26"/>
      <c r="L2" s="27"/>
      <c r="M2" s="53" t="s">
        <v>53</v>
      </c>
      <c r="N2" s="27"/>
      <c r="O2" s="54" t="s">
        <v>54</v>
      </c>
      <c r="P2" s="26"/>
      <c r="Q2" s="26"/>
      <c r="R2" s="26"/>
      <c r="S2" s="27"/>
      <c r="T2" s="55" t="s">
        <v>55</v>
      </c>
      <c r="U2" s="26"/>
      <c r="V2" s="26"/>
      <c r="W2" s="26"/>
      <c r="X2" s="27"/>
      <c r="Y2" s="56" t="s">
        <v>56</v>
      </c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7"/>
      <c r="AN2" s="57" t="s">
        <v>57</v>
      </c>
      <c r="AO2" s="27"/>
      <c r="AP2" s="54" t="s">
        <v>58</v>
      </c>
      <c r="AQ2" s="26"/>
      <c r="AR2" s="26"/>
      <c r="AS2" s="26"/>
      <c r="AT2" s="26"/>
      <c r="AU2" s="27"/>
      <c r="AV2" s="57" t="s">
        <v>59</v>
      </c>
      <c r="AW2" s="27"/>
      <c r="AX2" s="58" t="s">
        <v>60</v>
      </c>
      <c r="AY2" s="58"/>
      <c r="AZ2" s="59"/>
      <c r="BA2" s="27"/>
      <c r="BB2" s="59"/>
      <c r="BC2" s="27"/>
      <c r="BD2" s="59"/>
      <c r="BE2" s="27"/>
      <c r="BF2" s="59"/>
      <c r="BG2" s="27"/>
      <c r="BH2" s="59"/>
      <c r="BI2" s="27"/>
      <c r="BJ2" s="59"/>
      <c r="BK2" s="60"/>
    </row>
    <row r="3" ht="23.25" customHeight="1">
      <c r="A3" s="41"/>
      <c r="B3" s="61" t="s">
        <v>61</v>
      </c>
      <c r="C3" s="62" t="s">
        <v>62</v>
      </c>
      <c r="D3" s="62" t="s">
        <v>63</v>
      </c>
      <c r="E3" s="63" t="s">
        <v>64</v>
      </c>
      <c r="F3" s="2"/>
      <c r="G3" s="2"/>
      <c r="H3" s="2"/>
      <c r="I3" s="3"/>
      <c r="J3" s="64" t="s">
        <v>65</v>
      </c>
      <c r="K3" s="26"/>
      <c r="L3" s="27"/>
      <c r="M3" s="62" t="s">
        <v>66</v>
      </c>
      <c r="N3" s="62" t="s">
        <v>67</v>
      </c>
      <c r="O3" s="65" t="s">
        <v>68</v>
      </c>
      <c r="P3" s="26"/>
      <c r="Q3" s="26"/>
      <c r="R3" s="26"/>
      <c r="S3" s="26"/>
      <c r="T3" s="26"/>
      <c r="U3" s="26"/>
      <c r="V3" s="26"/>
      <c r="W3" s="26"/>
      <c r="X3" s="27"/>
      <c r="Y3" s="66"/>
      <c r="Z3" s="26"/>
      <c r="AA3" s="26"/>
      <c r="AB3" s="26"/>
      <c r="AC3" s="27"/>
      <c r="AD3" s="66"/>
      <c r="AE3" s="26"/>
      <c r="AF3" s="26"/>
      <c r="AG3" s="26"/>
      <c r="AH3" s="27"/>
      <c r="AI3" s="66"/>
      <c r="AJ3" s="26"/>
      <c r="AK3" s="26"/>
      <c r="AL3" s="26"/>
      <c r="AM3" s="27"/>
      <c r="AN3" s="66"/>
      <c r="AO3" s="26"/>
      <c r="AP3" s="26"/>
      <c r="AQ3" s="26"/>
      <c r="AR3" s="27"/>
      <c r="AS3" s="66"/>
      <c r="AT3" s="26"/>
      <c r="AU3" s="26"/>
      <c r="AV3" s="26"/>
      <c r="AW3" s="27"/>
      <c r="AX3" s="66"/>
      <c r="AY3" s="26"/>
      <c r="AZ3" s="26"/>
      <c r="BA3" s="26"/>
      <c r="BB3" s="27"/>
      <c r="BC3" s="59"/>
      <c r="BD3" s="26"/>
      <c r="BE3" s="26"/>
      <c r="BF3" s="26"/>
      <c r="BG3" s="27"/>
      <c r="BH3" s="59"/>
      <c r="BI3" s="26"/>
      <c r="BJ3" s="26"/>
      <c r="BK3" s="60"/>
    </row>
    <row r="4" ht="23.25" customHeight="1">
      <c r="A4" s="41"/>
      <c r="B4" s="67"/>
      <c r="C4" s="68"/>
      <c r="D4" s="68"/>
      <c r="E4" s="6"/>
      <c r="F4" s="7"/>
      <c r="G4" s="7"/>
      <c r="H4" s="7"/>
      <c r="I4" s="8"/>
      <c r="J4" s="69" t="s">
        <v>69</v>
      </c>
      <c r="K4" s="69" t="s">
        <v>70</v>
      </c>
      <c r="L4" s="69" t="s">
        <v>71</v>
      </c>
      <c r="M4" s="68"/>
      <c r="N4" s="68"/>
      <c r="O4" s="70" t="s">
        <v>72</v>
      </c>
      <c r="P4" s="70" t="s">
        <v>73</v>
      </c>
      <c r="Q4" s="70" t="s">
        <v>74</v>
      </c>
      <c r="R4" s="70" t="s">
        <v>75</v>
      </c>
      <c r="S4" s="71" t="s">
        <v>76</v>
      </c>
      <c r="T4" s="70" t="s">
        <v>72</v>
      </c>
      <c r="U4" s="70" t="s">
        <v>73</v>
      </c>
      <c r="V4" s="70" t="s">
        <v>74</v>
      </c>
      <c r="W4" s="70" t="s">
        <v>75</v>
      </c>
      <c r="X4" s="70" t="s">
        <v>77</v>
      </c>
      <c r="Y4" s="70" t="s">
        <v>78</v>
      </c>
      <c r="Z4" s="70" t="s">
        <v>79</v>
      </c>
      <c r="AA4" s="70" t="s">
        <v>80</v>
      </c>
      <c r="AB4" s="70" t="s">
        <v>81</v>
      </c>
      <c r="AC4" s="70" t="s">
        <v>82</v>
      </c>
      <c r="AD4" s="70" t="s">
        <v>83</v>
      </c>
      <c r="AE4" s="70" t="s">
        <v>84</v>
      </c>
      <c r="AF4" s="70" t="s">
        <v>85</v>
      </c>
      <c r="AG4" s="70" t="s">
        <v>86</v>
      </c>
      <c r="AH4" s="70" t="s">
        <v>87</v>
      </c>
      <c r="AI4" s="70" t="s">
        <v>88</v>
      </c>
      <c r="AJ4" s="70" t="s">
        <v>89</v>
      </c>
      <c r="AK4" s="70" t="s">
        <v>90</v>
      </c>
      <c r="AL4" s="70" t="s">
        <v>91</v>
      </c>
      <c r="AM4" s="70" t="s">
        <v>92</v>
      </c>
      <c r="AN4" s="70" t="s">
        <v>93</v>
      </c>
      <c r="AO4" s="70" t="s">
        <v>94</v>
      </c>
      <c r="AP4" s="70" t="s">
        <v>95</v>
      </c>
      <c r="AQ4" s="70" t="s">
        <v>96</v>
      </c>
      <c r="AR4" s="70" t="s">
        <v>97</v>
      </c>
      <c r="AS4" s="70" t="s">
        <v>98</v>
      </c>
      <c r="AT4" s="70" t="s">
        <v>99</v>
      </c>
      <c r="AU4" s="70" t="s">
        <v>100</v>
      </c>
      <c r="AV4" s="70" t="s">
        <v>101</v>
      </c>
      <c r="AW4" s="70" t="s">
        <v>102</v>
      </c>
      <c r="AX4" s="70" t="s">
        <v>103</v>
      </c>
      <c r="AY4" s="70" t="s">
        <v>104</v>
      </c>
      <c r="AZ4" s="70" t="s">
        <v>105</v>
      </c>
      <c r="BA4" s="70" t="s">
        <v>106</v>
      </c>
      <c r="BB4" s="70" t="s">
        <v>107</v>
      </c>
      <c r="BC4" s="70" t="s">
        <v>108</v>
      </c>
      <c r="BD4" s="70" t="s">
        <v>109</v>
      </c>
      <c r="BE4" s="70" t="s">
        <v>110</v>
      </c>
      <c r="BF4" s="70" t="s">
        <v>111</v>
      </c>
      <c r="BG4" s="70" t="s">
        <v>112</v>
      </c>
      <c r="BH4" s="70" t="s">
        <v>113</v>
      </c>
      <c r="BI4" s="70" t="s">
        <v>114</v>
      </c>
      <c r="BJ4" s="70" t="s">
        <v>115</v>
      </c>
      <c r="BK4" s="72" t="s">
        <v>116</v>
      </c>
    </row>
    <row r="5" ht="37.5" customHeight="1">
      <c r="A5" s="41"/>
      <c r="B5" s="73" t="s">
        <v>117</v>
      </c>
      <c r="C5" s="74" t="s">
        <v>118</v>
      </c>
      <c r="D5" s="74" t="s">
        <v>119</v>
      </c>
      <c r="E5" s="75" t="s">
        <v>120</v>
      </c>
      <c r="F5" s="26"/>
      <c r="G5" s="26"/>
      <c r="H5" s="26"/>
      <c r="I5" s="27"/>
      <c r="J5" s="76"/>
      <c r="K5" s="76"/>
      <c r="L5" s="76"/>
      <c r="M5" s="77" t="s">
        <v>121</v>
      </c>
      <c r="N5" s="78" t="s">
        <v>122</v>
      </c>
      <c r="O5" s="79">
        <v>45138.0</v>
      </c>
      <c r="P5" s="79">
        <v>45145.0</v>
      </c>
      <c r="Q5" s="79">
        <v>45159.0</v>
      </c>
      <c r="R5" s="79">
        <v>45166.0</v>
      </c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1"/>
      <c r="AH5" s="81"/>
      <c r="AI5" s="81"/>
      <c r="AJ5" s="81"/>
      <c r="AK5" s="81"/>
      <c r="AL5" s="81"/>
      <c r="AM5" s="81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1"/>
      <c r="BD5" s="81"/>
      <c r="BE5" s="81"/>
      <c r="BF5" s="81"/>
      <c r="BG5" s="81"/>
      <c r="BH5" s="81"/>
      <c r="BI5" s="81"/>
      <c r="BJ5" s="81"/>
      <c r="BK5" s="82"/>
    </row>
    <row r="6" ht="52.5" customHeight="1">
      <c r="A6" s="41"/>
      <c r="B6" s="83" t="s">
        <v>123</v>
      </c>
      <c r="C6" s="84" t="s">
        <v>118</v>
      </c>
      <c r="D6" s="84" t="s">
        <v>119</v>
      </c>
      <c r="E6" s="85" t="s">
        <v>124</v>
      </c>
      <c r="F6" s="26"/>
      <c r="G6" s="26"/>
      <c r="H6" s="26"/>
      <c r="I6" s="27"/>
      <c r="J6" s="86"/>
      <c r="K6" s="86"/>
      <c r="L6" s="86"/>
      <c r="M6" s="87" t="s">
        <v>125</v>
      </c>
      <c r="N6" s="88" t="s">
        <v>122</v>
      </c>
      <c r="O6" s="89"/>
      <c r="P6" s="89"/>
      <c r="Q6" s="89"/>
      <c r="R6" s="89"/>
      <c r="S6" s="90" t="s">
        <v>126</v>
      </c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91"/>
      <c r="AH6" s="91"/>
      <c r="AI6" s="91"/>
      <c r="AJ6" s="91"/>
      <c r="AK6" s="91"/>
      <c r="AL6" s="91"/>
      <c r="AM6" s="91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92"/>
    </row>
    <row r="7" ht="21.75" customHeight="1">
      <c r="A7" s="41"/>
      <c r="B7" s="93" t="s">
        <v>127</v>
      </c>
      <c r="C7" s="94" t="s">
        <v>118</v>
      </c>
      <c r="D7" s="94" t="s">
        <v>119</v>
      </c>
      <c r="E7" s="95" t="s">
        <v>128</v>
      </c>
      <c r="F7" s="26"/>
      <c r="G7" s="26"/>
      <c r="H7" s="26"/>
      <c r="I7" s="27"/>
      <c r="J7" s="96">
        <v>10.0</v>
      </c>
      <c r="K7" s="96">
        <v>1.0</v>
      </c>
      <c r="L7" s="97">
        <f t="shared" ref="L7:L8" si="1">J7*K7</f>
        <v>10</v>
      </c>
      <c r="M7" s="98" t="s">
        <v>36</v>
      </c>
      <c r="N7" s="98" t="s">
        <v>129</v>
      </c>
      <c r="O7" s="99"/>
      <c r="P7" s="99"/>
      <c r="Q7" s="99"/>
      <c r="R7" s="99"/>
      <c r="S7" s="99"/>
      <c r="T7" s="99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58"/>
      <c r="AS7" s="58"/>
      <c r="AT7" s="58"/>
      <c r="AU7" s="58"/>
      <c r="AV7" s="58"/>
      <c r="AW7" s="58"/>
      <c r="AX7" s="58"/>
      <c r="AY7" s="100"/>
      <c r="AZ7" s="100"/>
      <c r="BA7" s="100"/>
      <c r="BB7" s="100"/>
      <c r="BC7" s="58"/>
      <c r="BD7" s="58"/>
      <c r="BE7" s="58"/>
      <c r="BF7" s="58"/>
      <c r="BG7" s="58"/>
      <c r="BH7" s="58"/>
      <c r="BI7" s="58"/>
      <c r="BJ7" s="58"/>
      <c r="BK7" s="101"/>
    </row>
    <row r="8" ht="21.75" customHeight="1">
      <c r="A8" s="41"/>
      <c r="B8" s="67"/>
      <c r="C8" s="94" t="s">
        <v>118</v>
      </c>
      <c r="D8" s="94" t="s">
        <v>119</v>
      </c>
      <c r="E8" s="102" t="s">
        <v>130</v>
      </c>
      <c r="F8" s="26"/>
      <c r="G8" s="26"/>
      <c r="H8" s="26"/>
      <c r="I8" s="27"/>
      <c r="J8" s="103">
        <v>1.0</v>
      </c>
      <c r="K8" s="103">
        <v>1.0</v>
      </c>
      <c r="L8" s="97">
        <f t="shared" si="1"/>
        <v>1</v>
      </c>
      <c r="M8" s="98" t="s">
        <v>36</v>
      </c>
      <c r="N8" s="98" t="s">
        <v>129</v>
      </c>
      <c r="O8" s="100"/>
      <c r="P8" s="100"/>
      <c r="Q8" s="100"/>
      <c r="R8" s="100"/>
      <c r="S8" s="100"/>
      <c r="T8" s="100"/>
      <c r="U8" s="99"/>
      <c r="V8" s="99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58"/>
      <c r="AS8" s="58"/>
      <c r="AT8" s="58"/>
      <c r="AU8" s="58"/>
      <c r="AV8" s="58"/>
      <c r="AW8" s="58"/>
      <c r="AX8" s="58"/>
      <c r="AY8" s="100"/>
      <c r="AZ8" s="100"/>
      <c r="BA8" s="100"/>
      <c r="BB8" s="100"/>
      <c r="BC8" s="58"/>
      <c r="BD8" s="58"/>
      <c r="BE8" s="58"/>
      <c r="BF8" s="58"/>
      <c r="BG8" s="58"/>
      <c r="BH8" s="58"/>
      <c r="BI8" s="58"/>
      <c r="BJ8" s="58"/>
      <c r="BK8" s="101"/>
    </row>
    <row r="9" ht="21.75" customHeight="1">
      <c r="A9" s="41"/>
      <c r="B9" s="93" t="s">
        <v>131</v>
      </c>
      <c r="C9" s="94" t="s">
        <v>118</v>
      </c>
      <c r="D9" s="94" t="s">
        <v>119</v>
      </c>
      <c r="E9" s="95" t="s">
        <v>132</v>
      </c>
      <c r="F9" s="26"/>
      <c r="G9" s="26"/>
      <c r="H9" s="26"/>
      <c r="I9" s="27"/>
      <c r="J9" s="103">
        <v>0.25</v>
      </c>
      <c r="K9" s="103">
        <v>1.0</v>
      </c>
      <c r="L9" s="103">
        <v>0.25</v>
      </c>
      <c r="M9" s="98" t="s">
        <v>39</v>
      </c>
      <c r="N9" s="98" t="s">
        <v>133</v>
      </c>
      <c r="O9" s="100"/>
      <c r="P9" s="100"/>
      <c r="Q9" s="100"/>
      <c r="R9" s="100"/>
      <c r="S9" s="100"/>
      <c r="T9" s="104" t="s">
        <v>134</v>
      </c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58"/>
      <c r="AH9" s="58"/>
      <c r="AI9" s="58"/>
      <c r="AJ9" s="58"/>
      <c r="AK9" s="58"/>
      <c r="AL9" s="58"/>
      <c r="AM9" s="58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58"/>
      <c r="BD9" s="58"/>
      <c r="BE9" s="58"/>
      <c r="BF9" s="58"/>
      <c r="BG9" s="58"/>
      <c r="BH9" s="58"/>
      <c r="BI9" s="58"/>
      <c r="BJ9" s="58"/>
      <c r="BK9" s="101"/>
    </row>
    <row r="10" ht="21.75" customHeight="1">
      <c r="A10" s="41"/>
      <c r="B10" s="67"/>
      <c r="C10" s="94" t="s">
        <v>118</v>
      </c>
      <c r="D10" s="94" t="s">
        <v>119</v>
      </c>
      <c r="E10" s="102" t="s">
        <v>135</v>
      </c>
      <c r="F10" s="26"/>
      <c r="G10" s="26"/>
      <c r="H10" s="26"/>
      <c r="I10" s="27"/>
      <c r="J10" s="103">
        <v>0.25</v>
      </c>
      <c r="K10" s="103">
        <v>1.0</v>
      </c>
      <c r="L10" s="103">
        <v>0.25</v>
      </c>
      <c r="M10" s="98" t="s">
        <v>39</v>
      </c>
      <c r="N10" s="98" t="s">
        <v>133</v>
      </c>
      <c r="O10" s="100"/>
      <c r="P10" s="100"/>
      <c r="Q10" s="100"/>
      <c r="R10" s="100"/>
      <c r="S10" s="100"/>
      <c r="T10" s="100"/>
      <c r="U10" s="104" t="s">
        <v>136</v>
      </c>
      <c r="V10" s="104"/>
      <c r="W10" s="104"/>
      <c r="X10" s="104" t="s">
        <v>137</v>
      </c>
      <c r="Y10" s="100"/>
      <c r="Z10" s="100"/>
      <c r="AA10" s="100"/>
      <c r="AB10" s="100"/>
      <c r="AC10" s="100"/>
      <c r="AD10" s="100"/>
      <c r="AE10" s="100"/>
      <c r="AF10" s="100"/>
      <c r="AG10" s="58"/>
      <c r="AH10" s="58"/>
      <c r="AI10" s="58"/>
      <c r="AJ10" s="58"/>
      <c r="AK10" s="58"/>
      <c r="AL10" s="58"/>
      <c r="AM10" s="58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58"/>
      <c r="BD10" s="58"/>
      <c r="BE10" s="58"/>
      <c r="BF10" s="58"/>
      <c r="BG10" s="58"/>
      <c r="BH10" s="58"/>
      <c r="BI10" s="58"/>
      <c r="BJ10" s="58"/>
      <c r="BK10" s="101"/>
    </row>
    <row r="11" ht="26.25" customHeight="1">
      <c r="A11" s="41"/>
      <c r="B11" s="93" t="s">
        <v>138</v>
      </c>
      <c r="C11" s="94" t="s">
        <v>118</v>
      </c>
      <c r="D11" s="94" t="s">
        <v>119</v>
      </c>
      <c r="E11" s="105" t="s">
        <v>139</v>
      </c>
      <c r="F11" s="26"/>
      <c r="G11" s="26"/>
      <c r="H11" s="26"/>
      <c r="I11" s="27"/>
      <c r="J11" s="106">
        <v>40.0</v>
      </c>
      <c r="K11" s="106">
        <v>2.0</v>
      </c>
      <c r="L11" s="106">
        <f t="shared" ref="L11:L18" si="2">J11*K11</f>
        <v>80</v>
      </c>
      <c r="M11" s="98" t="s">
        <v>36</v>
      </c>
      <c r="N11" s="98" t="s">
        <v>129</v>
      </c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99"/>
      <c r="Z11" s="99"/>
      <c r="AA11" s="99"/>
      <c r="AB11" s="99"/>
      <c r="AC11" s="99"/>
      <c r="AD11" s="99"/>
      <c r="AE11" s="99"/>
      <c r="AF11" s="99"/>
      <c r="AG11" s="107"/>
      <c r="AH11" s="58"/>
      <c r="AI11" s="58"/>
      <c r="AJ11" s="58"/>
      <c r="AK11" s="58"/>
      <c r="AL11" s="58"/>
      <c r="AM11" s="58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58"/>
      <c r="BD11" s="58"/>
      <c r="BE11" s="58"/>
      <c r="BF11" s="58"/>
      <c r="BG11" s="58"/>
      <c r="BH11" s="58"/>
      <c r="BI11" s="58"/>
      <c r="BJ11" s="58"/>
      <c r="BK11" s="101"/>
    </row>
    <row r="12" ht="21.75" customHeight="1">
      <c r="A12" s="41"/>
      <c r="B12" s="67"/>
      <c r="C12" s="94" t="s">
        <v>118</v>
      </c>
      <c r="D12" s="94" t="s">
        <v>119</v>
      </c>
      <c r="E12" s="102" t="s">
        <v>140</v>
      </c>
      <c r="F12" s="26"/>
      <c r="G12" s="26"/>
      <c r="H12" s="26"/>
      <c r="I12" s="27"/>
      <c r="J12" s="106">
        <v>2.0</v>
      </c>
      <c r="K12" s="106">
        <v>2.0</v>
      </c>
      <c r="L12" s="106">
        <f t="shared" si="2"/>
        <v>4</v>
      </c>
      <c r="M12" s="98" t="s">
        <v>36</v>
      </c>
      <c r="N12" s="98" t="s">
        <v>129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90" t="s">
        <v>126</v>
      </c>
      <c r="AC12" s="100"/>
      <c r="AD12" s="100"/>
      <c r="AE12" s="90" t="s">
        <v>126</v>
      </c>
      <c r="AF12" s="100"/>
      <c r="AG12" s="90" t="s">
        <v>126</v>
      </c>
      <c r="AH12" s="100"/>
      <c r="AI12" s="90" t="s">
        <v>126</v>
      </c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58"/>
      <c r="BD12" s="58"/>
      <c r="BE12" s="58"/>
      <c r="BF12" s="58"/>
      <c r="BG12" s="58"/>
      <c r="BH12" s="58"/>
      <c r="BI12" s="58"/>
      <c r="BJ12" s="58"/>
      <c r="BK12" s="101"/>
    </row>
    <row r="13" ht="21.75" customHeight="1">
      <c r="A13" s="41"/>
      <c r="B13" s="93" t="s">
        <v>141</v>
      </c>
      <c r="C13" s="94" t="s">
        <v>118</v>
      </c>
      <c r="D13" s="94" t="s">
        <v>119</v>
      </c>
      <c r="E13" s="95" t="s">
        <v>142</v>
      </c>
      <c r="F13" s="26"/>
      <c r="G13" s="26"/>
      <c r="H13" s="26"/>
      <c r="I13" s="27"/>
      <c r="J13" s="106">
        <v>2.0</v>
      </c>
      <c r="K13" s="106">
        <v>2.0</v>
      </c>
      <c r="L13" s="106">
        <f t="shared" si="2"/>
        <v>4</v>
      </c>
      <c r="M13" s="98" t="s">
        <v>36</v>
      </c>
      <c r="N13" s="98" t="s">
        <v>129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99"/>
      <c r="AE13" s="99"/>
      <c r="AF13" s="99"/>
      <c r="AG13" s="99"/>
      <c r="AH13" s="99"/>
      <c r="AI13" s="99"/>
      <c r="AJ13" s="99"/>
      <c r="AK13" s="99"/>
      <c r="AL13" s="100"/>
      <c r="AM13" s="100"/>
      <c r="AN13" s="100"/>
      <c r="AO13" s="100"/>
      <c r="AP13" s="100"/>
      <c r="AQ13" s="100"/>
      <c r="AR13" s="58"/>
      <c r="AS13" s="58"/>
      <c r="AT13" s="58"/>
      <c r="AU13" s="58"/>
      <c r="AV13" s="58"/>
      <c r="AW13" s="58"/>
      <c r="AX13" s="58"/>
      <c r="AY13" s="100"/>
      <c r="AZ13" s="100"/>
      <c r="BA13" s="100"/>
      <c r="BB13" s="100"/>
      <c r="BC13" s="58"/>
      <c r="BD13" s="58"/>
      <c r="BE13" s="58"/>
      <c r="BF13" s="58"/>
      <c r="BG13" s="58"/>
      <c r="BH13" s="58"/>
      <c r="BI13" s="58"/>
      <c r="BJ13" s="58"/>
      <c r="BK13" s="101"/>
    </row>
    <row r="14" ht="21.75" customHeight="1">
      <c r="A14" s="41"/>
      <c r="B14" s="108"/>
      <c r="C14" s="94" t="s">
        <v>118</v>
      </c>
      <c r="D14" s="94" t="s">
        <v>119</v>
      </c>
      <c r="E14" s="95" t="s">
        <v>143</v>
      </c>
      <c r="F14" s="26"/>
      <c r="G14" s="26"/>
      <c r="H14" s="26"/>
      <c r="I14" s="27"/>
      <c r="J14" s="106">
        <v>2.0</v>
      </c>
      <c r="K14" s="106">
        <v>2.0</v>
      </c>
      <c r="L14" s="106">
        <f t="shared" si="2"/>
        <v>4</v>
      </c>
      <c r="M14" s="98" t="s">
        <v>36</v>
      </c>
      <c r="N14" s="98" t="s">
        <v>129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99"/>
      <c r="AI14" s="99"/>
      <c r="AJ14" s="99"/>
      <c r="AK14" s="99"/>
      <c r="AL14" s="100"/>
      <c r="AM14" s="100"/>
      <c r="AN14" s="100"/>
      <c r="AO14" s="100"/>
      <c r="AP14" s="100"/>
      <c r="AQ14" s="100"/>
      <c r="AR14" s="58"/>
      <c r="AS14" s="58"/>
      <c r="AT14" s="58"/>
      <c r="AU14" s="58"/>
      <c r="AV14" s="58"/>
      <c r="AW14" s="58"/>
      <c r="AX14" s="58"/>
      <c r="AY14" s="100"/>
      <c r="AZ14" s="100"/>
      <c r="BA14" s="100"/>
      <c r="BB14" s="100"/>
      <c r="BC14" s="58"/>
      <c r="BD14" s="58"/>
      <c r="BE14" s="58"/>
      <c r="BF14" s="58"/>
      <c r="BG14" s="58"/>
      <c r="BH14" s="58"/>
      <c r="BI14" s="58"/>
      <c r="BJ14" s="58"/>
      <c r="BK14" s="101"/>
    </row>
    <row r="15" ht="21.75" customHeight="1">
      <c r="A15" s="41"/>
      <c r="B15" s="108"/>
      <c r="C15" s="94" t="s">
        <v>118</v>
      </c>
      <c r="D15" s="94" t="s">
        <v>119</v>
      </c>
      <c r="E15" s="95" t="s">
        <v>144</v>
      </c>
      <c r="F15" s="26"/>
      <c r="G15" s="26"/>
      <c r="H15" s="26"/>
      <c r="I15" s="27"/>
      <c r="J15" s="106">
        <v>5.0</v>
      </c>
      <c r="K15" s="106">
        <v>1.0</v>
      </c>
      <c r="L15" s="106">
        <f t="shared" si="2"/>
        <v>5</v>
      </c>
      <c r="M15" s="98" t="s">
        <v>36</v>
      </c>
      <c r="N15" s="98" t="s">
        <v>129</v>
      </c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90"/>
      <c r="AG15" s="9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58"/>
      <c r="AS15" s="58"/>
      <c r="AT15" s="58"/>
      <c r="AU15" s="58"/>
      <c r="AV15" s="58"/>
      <c r="AW15" s="58"/>
      <c r="AX15" s="58"/>
      <c r="AY15" s="100"/>
      <c r="AZ15" s="100"/>
      <c r="BA15" s="100"/>
      <c r="BB15" s="100"/>
      <c r="BC15" s="58"/>
      <c r="BD15" s="58"/>
      <c r="BE15" s="58"/>
      <c r="BF15" s="58"/>
      <c r="BG15" s="58"/>
      <c r="BH15" s="58"/>
      <c r="BI15" s="58"/>
      <c r="BJ15" s="58"/>
      <c r="BK15" s="101"/>
    </row>
    <row r="16" ht="21.75" customHeight="1">
      <c r="A16" s="41"/>
      <c r="B16" s="108"/>
      <c r="C16" s="94" t="s">
        <v>118</v>
      </c>
      <c r="D16" s="94" t="s">
        <v>119</v>
      </c>
      <c r="E16" s="95" t="s">
        <v>145</v>
      </c>
      <c r="F16" s="26"/>
      <c r="G16" s="26"/>
      <c r="H16" s="26"/>
      <c r="I16" s="27"/>
      <c r="J16" s="106">
        <v>5.0</v>
      </c>
      <c r="K16" s="106">
        <v>1.0</v>
      </c>
      <c r="L16" s="106">
        <f t="shared" si="2"/>
        <v>5</v>
      </c>
      <c r="M16" s="98" t="s">
        <v>37</v>
      </c>
      <c r="N16" s="98" t="s">
        <v>146</v>
      </c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90"/>
      <c r="AK16" s="90"/>
      <c r="AL16" s="90"/>
      <c r="AM16" s="58"/>
      <c r="AN16" s="58"/>
      <c r="AO16" s="100"/>
      <c r="AP16" s="58"/>
      <c r="AQ16" s="100"/>
      <c r="AR16" s="58"/>
      <c r="AS16" s="58"/>
      <c r="AT16" s="58"/>
      <c r="AU16" s="58"/>
      <c r="AV16" s="58"/>
      <c r="AW16" s="58"/>
      <c r="AX16" s="58"/>
      <c r="AY16" s="100"/>
      <c r="AZ16" s="100"/>
      <c r="BA16" s="100"/>
      <c r="BB16" s="100"/>
      <c r="BC16" s="58"/>
      <c r="BD16" s="58"/>
      <c r="BE16" s="58"/>
      <c r="BF16" s="58"/>
      <c r="BG16" s="58"/>
      <c r="BH16" s="58"/>
      <c r="BI16" s="58"/>
      <c r="BJ16" s="58"/>
      <c r="BK16" s="101"/>
    </row>
    <row r="17" ht="21.75" customHeight="1">
      <c r="A17" s="41"/>
      <c r="B17" s="108"/>
      <c r="C17" s="94" t="s">
        <v>118</v>
      </c>
      <c r="D17" s="94" t="s">
        <v>119</v>
      </c>
      <c r="E17" s="95" t="s">
        <v>147</v>
      </c>
      <c r="F17" s="26"/>
      <c r="G17" s="26"/>
      <c r="H17" s="26"/>
      <c r="I17" s="27"/>
      <c r="J17" s="106">
        <v>5.0</v>
      </c>
      <c r="K17" s="106">
        <v>1.0</v>
      </c>
      <c r="L17" s="106">
        <f t="shared" si="2"/>
        <v>5</v>
      </c>
      <c r="M17" s="98" t="s">
        <v>37</v>
      </c>
      <c r="N17" s="98" t="s">
        <v>146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90"/>
      <c r="AL17" s="90"/>
      <c r="AM17" s="90"/>
      <c r="AN17" s="58"/>
      <c r="AO17" s="100"/>
      <c r="AP17" s="58"/>
      <c r="AQ17" s="100"/>
      <c r="AR17" s="58"/>
      <c r="AS17" s="58"/>
      <c r="AT17" s="58"/>
      <c r="AU17" s="58"/>
      <c r="AV17" s="58"/>
      <c r="AW17" s="58"/>
      <c r="AX17" s="58"/>
      <c r="AY17" s="100"/>
      <c r="AZ17" s="100"/>
      <c r="BA17" s="100"/>
      <c r="BB17" s="100"/>
      <c r="BC17" s="58"/>
      <c r="BD17" s="58"/>
      <c r="BE17" s="58"/>
      <c r="BF17" s="58"/>
      <c r="BG17" s="58"/>
      <c r="BH17" s="58"/>
      <c r="BI17" s="58"/>
      <c r="BJ17" s="58"/>
      <c r="BK17" s="101"/>
    </row>
    <row r="18" ht="21.75" customHeight="1">
      <c r="A18" s="41"/>
      <c r="B18" s="67"/>
      <c r="C18" s="94" t="s">
        <v>118</v>
      </c>
      <c r="D18" s="94" t="s">
        <v>119</v>
      </c>
      <c r="E18" s="102" t="s">
        <v>148</v>
      </c>
      <c r="F18" s="26"/>
      <c r="G18" s="26"/>
      <c r="H18" s="26"/>
      <c r="I18" s="27"/>
      <c r="J18" s="106">
        <v>5.0</v>
      </c>
      <c r="K18" s="106">
        <v>1.0</v>
      </c>
      <c r="L18" s="106">
        <f t="shared" si="2"/>
        <v>5</v>
      </c>
      <c r="M18" s="98"/>
      <c r="N18" s="98" t="s">
        <v>149</v>
      </c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90"/>
      <c r="AO18" s="90"/>
      <c r="AP18" s="58"/>
      <c r="AQ18" s="58"/>
      <c r="AR18" s="58"/>
      <c r="AS18" s="58"/>
      <c r="AT18" s="58"/>
      <c r="AU18" s="58"/>
      <c r="AV18" s="58"/>
      <c r="AW18" s="58"/>
      <c r="AX18" s="58"/>
      <c r="AY18" s="100"/>
      <c r="AZ18" s="100"/>
      <c r="BA18" s="100"/>
      <c r="BB18" s="100"/>
      <c r="BC18" s="58"/>
      <c r="BD18" s="58"/>
      <c r="BE18" s="58"/>
      <c r="BF18" s="58"/>
      <c r="BG18" s="58"/>
      <c r="BH18" s="58"/>
      <c r="BI18" s="58"/>
      <c r="BJ18" s="58"/>
      <c r="BK18" s="101"/>
    </row>
    <row r="19" ht="21.75" customHeight="1">
      <c r="A19" s="41"/>
      <c r="B19" s="93" t="s">
        <v>150</v>
      </c>
      <c r="C19" s="94" t="s">
        <v>118</v>
      </c>
      <c r="D19" s="94" t="s">
        <v>119</v>
      </c>
      <c r="E19" s="95" t="s">
        <v>151</v>
      </c>
      <c r="F19" s="26"/>
      <c r="G19" s="26"/>
      <c r="H19" s="26"/>
      <c r="I19" s="27"/>
      <c r="J19" s="106"/>
      <c r="K19" s="106"/>
      <c r="L19" s="106"/>
      <c r="M19" s="98" t="s">
        <v>36</v>
      </c>
      <c r="N19" s="98" t="s">
        <v>129</v>
      </c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90" t="s">
        <v>126</v>
      </c>
      <c r="AN19" s="100"/>
      <c r="AO19" s="100"/>
      <c r="AP19" s="100"/>
      <c r="AQ19" s="100"/>
      <c r="AR19" s="58"/>
      <c r="AS19" s="58"/>
      <c r="AT19" s="58"/>
      <c r="AU19" s="58"/>
      <c r="AV19" s="58"/>
      <c r="AW19" s="58"/>
      <c r="AX19" s="58"/>
      <c r="AY19" s="100"/>
      <c r="AZ19" s="100"/>
      <c r="BA19" s="100"/>
      <c r="BB19" s="100"/>
      <c r="BC19" s="58"/>
      <c r="BD19" s="58"/>
      <c r="BE19" s="58"/>
      <c r="BF19" s="58"/>
      <c r="BG19" s="58"/>
      <c r="BH19" s="58"/>
      <c r="BI19" s="58"/>
      <c r="BJ19" s="58"/>
      <c r="BK19" s="101"/>
    </row>
    <row r="20" ht="21.75" customHeight="1">
      <c r="A20" s="41"/>
      <c r="B20" s="67"/>
      <c r="C20" s="94" t="s">
        <v>118</v>
      </c>
      <c r="D20" s="94" t="s">
        <v>119</v>
      </c>
      <c r="E20" s="102" t="s">
        <v>152</v>
      </c>
      <c r="F20" s="26"/>
      <c r="G20" s="26"/>
      <c r="H20" s="26"/>
      <c r="I20" s="27"/>
      <c r="J20" s="103">
        <v>1.0</v>
      </c>
      <c r="K20" s="103">
        <v>2.0</v>
      </c>
      <c r="L20" s="106">
        <f>J20*K20</f>
        <v>2</v>
      </c>
      <c r="M20" s="98" t="s">
        <v>36</v>
      </c>
      <c r="N20" s="98" t="s">
        <v>129</v>
      </c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90"/>
      <c r="AM20" s="90"/>
      <c r="AN20" s="90"/>
      <c r="AO20" s="90" t="s">
        <v>126</v>
      </c>
      <c r="AP20" s="100"/>
      <c r="AQ20" s="100"/>
      <c r="AR20" s="58"/>
      <c r="AS20" s="58"/>
      <c r="AT20" s="58"/>
      <c r="AU20" s="58"/>
      <c r="AV20" s="58"/>
      <c r="AW20" s="58"/>
      <c r="AX20" s="58"/>
      <c r="AY20" s="100"/>
      <c r="AZ20" s="100"/>
      <c r="BA20" s="100"/>
      <c r="BB20" s="100"/>
      <c r="BC20" s="58"/>
      <c r="BD20" s="58"/>
      <c r="BE20" s="58"/>
      <c r="BF20" s="58"/>
      <c r="BG20" s="58"/>
      <c r="BH20" s="58"/>
      <c r="BI20" s="58"/>
      <c r="BJ20" s="58"/>
      <c r="BK20" s="101"/>
    </row>
    <row r="21" ht="27.75" customHeight="1">
      <c r="A21" s="41"/>
      <c r="B21" s="109" t="s">
        <v>153</v>
      </c>
      <c r="C21" s="94" t="s">
        <v>118</v>
      </c>
      <c r="D21" s="94" t="s">
        <v>119</v>
      </c>
      <c r="E21" s="95" t="s">
        <v>154</v>
      </c>
      <c r="F21" s="26"/>
      <c r="G21" s="26"/>
      <c r="H21" s="26"/>
      <c r="I21" s="27"/>
      <c r="J21" s="106"/>
      <c r="K21" s="106"/>
      <c r="L21" s="106"/>
      <c r="M21" s="98" t="s">
        <v>36</v>
      </c>
      <c r="N21" s="98" t="s">
        <v>155</v>
      </c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90" t="s">
        <v>126</v>
      </c>
      <c r="AQ21" s="100"/>
      <c r="AR21" s="58"/>
      <c r="AS21" s="58"/>
      <c r="AT21" s="58"/>
      <c r="AU21" s="58"/>
      <c r="AV21" s="58"/>
      <c r="AW21" s="58"/>
      <c r="AX21" s="58"/>
      <c r="AY21" s="100"/>
      <c r="AZ21" s="100"/>
      <c r="BA21" s="100"/>
      <c r="BB21" s="100"/>
      <c r="BC21" s="58"/>
      <c r="BD21" s="58"/>
      <c r="BE21" s="58"/>
      <c r="BF21" s="58"/>
      <c r="BG21" s="58"/>
      <c r="BH21" s="58"/>
      <c r="BI21" s="58"/>
      <c r="BJ21" s="58"/>
      <c r="BK21" s="101"/>
    </row>
    <row r="22" ht="57.75" customHeight="1">
      <c r="A22" s="41"/>
      <c r="B22" s="109" t="s">
        <v>156</v>
      </c>
      <c r="C22" s="94" t="s">
        <v>118</v>
      </c>
      <c r="D22" s="94" t="s">
        <v>119</v>
      </c>
      <c r="E22" s="110" t="s">
        <v>157</v>
      </c>
      <c r="F22" s="26"/>
      <c r="G22" s="26"/>
      <c r="H22" s="26"/>
      <c r="I22" s="27"/>
      <c r="J22" s="106">
        <v>10.0</v>
      </c>
      <c r="K22" s="106">
        <v>1.0</v>
      </c>
      <c r="L22" s="97">
        <f>J22*K22</f>
        <v>10</v>
      </c>
      <c r="M22" s="98" t="s">
        <v>36</v>
      </c>
      <c r="N22" s="98" t="s">
        <v>155</v>
      </c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90" t="s">
        <v>126</v>
      </c>
      <c r="AR22" s="111"/>
      <c r="AS22" s="90" t="s">
        <v>126</v>
      </c>
      <c r="AT22" s="111"/>
      <c r="AU22" s="111"/>
      <c r="AV22" s="111"/>
      <c r="AW22" s="90" t="s">
        <v>126</v>
      </c>
      <c r="AX22" s="111"/>
      <c r="AY22" s="100"/>
      <c r="AZ22" s="100"/>
      <c r="BA22" s="100"/>
      <c r="BB22" s="100"/>
      <c r="BC22" s="58"/>
      <c r="BD22" s="58"/>
      <c r="BE22" s="58"/>
      <c r="BF22" s="58"/>
      <c r="BG22" s="58"/>
      <c r="BH22" s="58"/>
      <c r="BI22" s="58"/>
      <c r="BJ22" s="58"/>
      <c r="BK22" s="101"/>
    </row>
    <row r="23" ht="89.25" customHeight="1">
      <c r="A23" s="41"/>
      <c r="B23" s="112" t="s">
        <v>158</v>
      </c>
      <c r="C23" s="113" t="s">
        <v>118</v>
      </c>
      <c r="D23" s="113" t="s">
        <v>119</v>
      </c>
      <c r="E23" s="114" t="s">
        <v>159</v>
      </c>
      <c r="F23" s="26"/>
      <c r="G23" s="26"/>
      <c r="H23" s="26"/>
      <c r="I23" s="27"/>
      <c r="J23" s="115"/>
      <c r="K23" s="115"/>
      <c r="L23" s="115"/>
      <c r="M23" s="116" t="s">
        <v>125</v>
      </c>
      <c r="N23" s="117" t="s">
        <v>122</v>
      </c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9"/>
      <c r="AH23" s="119"/>
      <c r="AI23" s="119"/>
      <c r="AJ23" s="119"/>
      <c r="AK23" s="119"/>
      <c r="AL23" s="119"/>
      <c r="AM23" s="119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20"/>
    </row>
    <row r="24" ht="159.0" customHeight="1">
      <c r="A24" s="41"/>
      <c r="B24" s="109" t="s">
        <v>160</v>
      </c>
      <c r="C24" s="94" t="s">
        <v>118</v>
      </c>
      <c r="D24" s="94" t="s">
        <v>119</v>
      </c>
      <c r="E24" s="110" t="s">
        <v>161</v>
      </c>
      <c r="F24" s="26"/>
      <c r="G24" s="26"/>
      <c r="H24" s="26"/>
      <c r="I24" s="27"/>
      <c r="J24" s="106">
        <v>5.0</v>
      </c>
      <c r="K24" s="106">
        <v>1.0</v>
      </c>
      <c r="L24" s="97">
        <f t="shared" ref="L24:L25" si="3">J24*K24</f>
        <v>5</v>
      </c>
      <c r="M24" s="98" t="s">
        <v>36</v>
      </c>
      <c r="N24" s="98" t="s">
        <v>155</v>
      </c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90"/>
      <c r="AR24" s="111"/>
      <c r="AS24" s="90"/>
      <c r="AT24" s="111"/>
      <c r="AU24" s="111"/>
      <c r="AV24" s="111"/>
      <c r="AW24" s="90"/>
      <c r="AX24" s="111"/>
      <c r="AY24" s="100"/>
      <c r="AZ24" s="100"/>
      <c r="BA24" s="100"/>
      <c r="BB24" s="100"/>
      <c r="BC24" s="100"/>
      <c r="BD24" s="100"/>
      <c r="BE24" s="58"/>
      <c r="BF24" s="58"/>
      <c r="BG24" s="58"/>
      <c r="BH24" s="58"/>
      <c r="BI24" s="58"/>
      <c r="BJ24" s="58"/>
      <c r="BK24" s="101"/>
    </row>
    <row r="25" ht="133.5" customHeight="1">
      <c r="A25" s="41"/>
      <c r="B25" s="109" t="s">
        <v>162</v>
      </c>
      <c r="C25" s="94" t="s">
        <v>118</v>
      </c>
      <c r="D25" s="94" t="s">
        <v>119</v>
      </c>
      <c r="E25" s="110" t="s">
        <v>163</v>
      </c>
      <c r="F25" s="26"/>
      <c r="G25" s="26"/>
      <c r="H25" s="26"/>
      <c r="I25" s="27"/>
      <c r="J25" s="106">
        <v>10.0</v>
      </c>
      <c r="K25" s="106">
        <v>1.0</v>
      </c>
      <c r="L25" s="97">
        <f t="shared" si="3"/>
        <v>10</v>
      </c>
      <c r="M25" s="98" t="s">
        <v>36</v>
      </c>
      <c r="N25" s="98" t="s">
        <v>155</v>
      </c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90" t="s">
        <v>126</v>
      </c>
      <c r="AX25" s="111"/>
      <c r="AY25" s="90" t="s">
        <v>126</v>
      </c>
      <c r="AZ25" s="111"/>
      <c r="BA25" s="111"/>
      <c r="BB25" s="90"/>
      <c r="BC25" s="90"/>
      <c r="BD25" s="90" t="s">
        <v>126</v>
      </c>
      <c r="BE25" s="58"/>
      <c r="BF25" s="58"/>
      <c r="BG25" s="58"/>
      <c r="BH25" s="58"/>
      <c r="BI25" s="58"/>
      <c r="BJ25" s="58"/>
      <c r="BK25" s="101"/>
    </row>
    <row r="26" ht="114.75" customHeight="1">
      <c r="A26" s="41"/>
      <c r="B26" s="109" t="s">
        <v>164</v>
      </c>
      <c r="C26" s="94" t="s">
        <v>118</v>
      </c>
      <c r="D26" s="94" t="s">
        <v>119</v>
      </c>
      <c r="E26" s="110" t="s">
        <v>165</v>
      </c>
      <c r="F26" s="26"/>
      <c r="G26" s="26"/>
      <c r="H26" s="26"/>
      <c r="I26" s="27"/>
      <c r="J26" s="106"/>
      <c r="K26" s="106"/>
      <c r="L26" s="106"/>
      <c r="M26" s="98" t="s">
        <v>36</v>
      </c>
      <c r="N26" s="98" t="s">
        <v>129</v>
      </c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21" t="s">
        <v>166</v>
      </c>
      <c r="AR26" s="90"/>
      <c r="AS26" s="90"/>
      <c r="AT26" s="90"/>
      <c r="AU26" s="90"/>
      <c r="AV26" s="90"/>
      <c r="AW26" s="90" t="s">
        <v>167</v>
      </c>
      <c r="AX26" s="111"/>
      <c r="AY26" s="90"/>
      <c r="AZ26" s="111"/>
      <c r="BA26" s="111"/>
      <c r="BB26" s="90"/>
      <c r="BC26" s="90"/>
      <c r="BD26" s="90" t="s">
        <v>168</v>
      </c>
      <c r="BE26" s="58"/>
      <c r="BF26" s="58"/>
      <c r="BG26" s="58"/>
      <c r="BH26" s="58"/>
      <c r="BI26" s="58"/>
      <c r="BJ26" s="58"/>
      <c r="BK26" s="101"/>
    </row>
    <row r="27" ht="99.75" customHeight="1">
      <c r="A27" s="41"/>
      <c r="B27" s="122" t="s">
        <v>169</v>
      </c>
      <c r="C27" s="123" t="s">
        <v>118</v>
      </c>
      <c r="D27" s="123" t="s">
        <v>119</v>
      </c>
      <c r="E27" s="124" t="s">
        <v>170</v>
      </c>
      <c r="F27" s="26"/>
      <c r="G27" s="26"/>
      <c r="H27" s="26"/>
      <c r="I27" s="27"/>
      <c r="J27" s="125"/>
      <c r="K27" s="125"/>
      <c r="L27" s="125"/>
      <c r="M27" s="126" t="s">
        <v>125</v>
      </c>
      <c r="N27" s="127" t="s">
        <v>122</v>
      </c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9"/>
      <c r="AH27" s="129"/>
      <c r="AI27" s="129"/>
      <c r="AJ27" s="129"/>
      <c r="AK27" s="129"/>
      <c r="AL27" s="129"/>
      <c r="AM27" s="129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30"/>
    </row>
    <row r="28" ht="21.75" customHeight="1">
      <c r="A28" s="41"/>
      <c r="B28" s="109" t="s">
        <v>171</v>
      </c>
      <c r="C28" s="94" t="s">
        <v>118</v>
      </c>
      <c r="D28" s="94" t="s">
        <v>119</v>
      </c>
      <c r="E28" s="110" t="s">
        <v>172</v>
      </c>
      <c r="F28" s="26"/>
      <c r="G28" s="26"/>
      <c r="H28" s="26"/>
      <c r="I28" s="27"/>
      <c r="J28" s="106"/>
      <c r="K28" s="106"/>
      <c r="L28" s="106"/>
      <c r="M28" s="98" t="s">
        <v>38</v>
      </c>
      <c r="N28" s="98" t="s">
        <v>173</v>
      </c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58"/>
      <c r="BD28" s="90" t="s">
        <v>126</v>
      </c>
      <c r="BE28" s="111"/>
      <c r="BF28" s="90" t="s">
        <v>126</v>
      </c>
      <c r="BG28" s="111"/>
      <c r="BH28" s="90" t="s">
        <v>126</v>
      </c>
      <c r="BI28" s="111"/>
      <c r="BJ28" s="90" t="s">
        <v>126</v>
      </c>
      <c r="BK28" s="131"/>
    </row>
    <row r="29" ht="75.0" customHeight="1">
      <c r="A29" s="41"/>
      <c r="B29" s="132" t="s">
        <v>174</v>
      </c>
      <c r="C29" s="133" t="s">
        <v>118</v>
      </c>
      <c r="D29" s="133" t="s">
        <v>119</v>
      </c>
      <c r="E29" s="134" t="s">
        <v>175</v>
      </c>
      <c r="F29" s="26"/>
      <c r="G29" s="26"/>
      <c r="H29" s="26"/>
      <c r="I29" s="27"/>
      <c r="J29" s="135"/>
      <c r="K29" s="135"/>
      <c r="L29" s="135"/>
      <c r="M29" s="136" t="s">
        <v>125</v>
      </c>
      <c r="N29" s="137" t="s">
        <v>122</v>
      </c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9"/>
      <c r="AH29" s="139"/>
      <c r="AI29" s="139"/>
      <c r="AJ29" s="139"/>
      <c r="AK29" s="139"/>
      <c r="AL29" s="139"/>
      <c r="AM29" s="139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40"/>
    </row>
    <row r="30" ht="21.75" customHeight="1">
      <c r="A30" s="41"/>
      <c r="B30" s="109" t="s">
        <v>176</v>
      </c>
      <c r="C30" s="94" t="s">
        <v>118</v>
      </c>
      <c r="D30" s="94" t="s">
        <v>119</v>
      </c>
      <c r="E30" s="110" t="s">
        <v>177</v>
      </c>
      <c r="F30" s="26"/>
      <c r="G30" s="26"/>
      <c r="H30" s="26"/>
      <c r="I30" s="27"/>
      <c r="J30" s="106"/>
      <c r="K30" s="106"/>
      <c r="L30" s="106"/>
      <c r="M30" s="98" t="s">
        <v>178</v>
      </c>
      <c r="N30" s="98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58"/>
      <c r="BD30" s="90" t="s">
        <v>126</v>
      </c>
      <c r="BE30" s="111"/>
      <c r="BF30" s="90" t="s">
        <v>126</v>
      </c>
      <c r="BG30" s="111"/>
      <c r="BH30" s="90" t="s">
        <v>126</v>
      </c>
      <c r="BI30" s="111"/>
      <c r="BJ30" s="90" t="s">
        <v>126</v>
      </c>
      <c r="BK30" s="131"/>
    </row>
    <row r="31" ht="19.5" customHeight="1">
      <c r="A31" s="41"/>
      <c r="B31" s="141"/>
      <c r="C31" s="142"/>
      <c r="D31" s="142"/>
      <c r="E31" s="143"/>
      <c r="F31" s="144"/>
      <c r="G31" s="144"/>
      <c r="H31" s="144"/>
      <c r="I31" s="145"/>
      <c r="J31" s="143" t="s">
        <v>179</v>
      </c>
      <c r="K31" s="145"/>
      <c r="L31" s="146">
        <f>SUM(L9:L30)</f>
        <v>139.5</v>
      </c>
      <c r="M31" s="146"/>
      <c r="N31" s="146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8"/>
    </row>
    <row r="32" ht="23.25" customHeight="1">
      <c r="A32" s="41"/>
      <c r="B32" s="149"/>
      <c r="C32" s="41"/>
      <c r="D32" s="41"/>
      <c r="E32" s="41"/>
      <c r="F32" s="41"/>
      <c r="G32" s="41"/>
      <c r="H32" s="41"/>
      <c r="I32" s="41"/>
      <c r="J32" s="41"/>
      <c r="K32" s="41"/>
      <c r="L32" s="41" t="s">
        <v>180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150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150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</row>
    <row r="33" ht="23.25" customHeight="1">
      <c r="A33" s="41"/>
      <c r="B33" s="149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150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150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</row>
    <row r="34" ht="23.25" customHeight="1">
      <c r="A34" s="41"/>
      <c r="B34" s="149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150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150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</row>
    <row r="35" ht="23.25" customHeight="1">
      <c r="A35" s="41"/>
      <c r="B35" s="149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150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150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</row>
    <row r="36" ht="23.25" customHeight="1">
      <c r="A36" s="41"/>
      <c r="B36" s="149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150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150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</row>
    <row r="37" ht="23.25" customHeight="1">
      <c r="A37" s="41"/>
      <c r="B37" s="149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150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150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</row>
    <row r="38" ht="23.25" customHeight="1">
      <c r="A38" s="41"/>
      <c r="B38" s="149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150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150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</row>
    <row r="39" ht="23.25" customHeight="1">
      <c r="A39" s="41"/>
      <c r="B39" s="149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150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150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</row>
    <row r="40" ht="23.25" customHeight="1">
      <c r="A40" s="41"/>
      <c r="B40" s="149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150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150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</row>
    <row r="41" ht="23.25" customHeight="1">
      <c r="A41" s="41"/>
      <c r="B41" s="149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150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150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</row>
    <row r="42" ht="23.25" customHeight="1">
      <c r="A42" s="41"/>
      <c r="B42" s="149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150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150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</row>
    <row r="43" ht="23.25" customHeight="1">
      <c r="A43" s="41"/>
      <c r="B43" s="149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150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150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</row>
    <row r="44" ht="23.25" customHeight="1">
      <c r="A44" s="41"/>
      <c r="B44" s="149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150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150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</row>
    <row r="45" ht="23.25" customHeight="1">
      <c r="A45" s="41"/>
      <c r="B45" s="149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150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150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</row>
    <row r="46" ht="23.25" customHeight="1">
      <c r="A46" s="41"/>
      <c r="B46" s="149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150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150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</row>
    <row r="47" ht="23.25" customHeight="1">
      <c r="A47" s="41"/>
      <c r="B47" s="149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150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150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</row>
    <row r="48" ht="23.25" customHeight="1">
      <c r="A48" s="41"/>
      <c r="B48" s="149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150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150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</row>
    <row r="49" ht="23.25" customHeight="1">
      <c r="A49" s="41"/>
      <c r="B49" s="149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150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150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</row>
    <row r="50" ht="23.25" customHeight="1">
      <c r="A50" s="41"/>
      <c r="B50" s="149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150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150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</row>
    <row r="51" ht="23.25" customHeight="1">
      <c r="A51" s="41"/>
      <c r="B51" s="149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150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150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</row>
    <row r="52" ht="23.25" customHeight="1">
      <c r="A52" s="41"/>
      <c r="B52" s="149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150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150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</row>
    <row r="53" ht="23.25" customHeight="1">
      <c r="A53" s="41"/>
      <c r="B53" s="149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150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150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</row>
    <row r="54" ht="23.25" customHeight="1">
      <c r="A54" s="41"/>
      <c r="B54" s="149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150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150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</row>
    <row r="55" ht="23.25" customHeight="1">
      <c r="A55" s="41"/>
      <c r="B55" s="149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150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150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</row>
    <row r="56" ht="23.25" customHeight="1">
      <c r="A56" s="41"/>
      <c r="B56" s="149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150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150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</row>
    <row r="57" ht="23.25" customHeight="1">
      <c r="A57" s="41"/>
      <c r="B57" s="149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150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150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</row>
    <row r="58" ht="23.25" customHeight="1">
      <c r="A58" s="41"/>
      <c r="B58" s="149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150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150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</row>
    <row r="59" ht="23.25" customHeight="1">
      <c r="A59" s="41"/>
      <c r="B59" s="149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150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150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</row>
    <row r="60" ht="23.25" customHeight="1">
      <c r="A60" s="41"/>
      <c r="B60" s="149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150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150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</row>
    <row r="61" ht="23.25" customHeight="1">
      <c r="A61" s="41"/>
      <c r="B61" s="149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150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150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</row>
    <row r="62" ht="23.25" customHeight="1">
      <c r="A62" s="41"/>
      <c r="B62" s="14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150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150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</row>
    <row r="63" ht="23.25" customHeight="1">
      <c r="A63" s="41"/>
      <c r="B63" s="149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150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150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</row>
    <row r="64" ht="23.25" customHeight="1">
      <c r="A64" s="41"/>
      <c r="B64" s="14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150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150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</row>
    <row r="65" ht="23.25" customHeight="1">
      <c r="A65" s="41"/>
      <c r="B65" s="14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150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150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</row>
    <row r="66" ht="23.25" customHeight="1">
      <c r="A66" s="41"/>
      <c r="B66" s="149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150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150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</row>
    <row r="67" ht="23.25" customHeight="1">
      <c r="A67" s="41"/>
      <c r="B67" s="149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150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150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</row>
    <row r="68" ht="23.25" customHeight="1">
      <c r="A68" s="41"/>
      <c r="B68" s="149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150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150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</row>
    <row r="69" ht="23.25" customHeight="1">
      <c r="A69" s="41"/>
      <c r="B69" s="149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150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150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</row>
    <row r="70" ht="23.25" customHeight="1">
      <c r="A70" s="41"/>
      <c r="B70" s="149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150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150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</row>
    <row r="71" ht="23.25" customHeight="1">
      <c r="A71" s="41"/>
      <c r="B71" s="149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150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150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</row>
    <row r="72" ht="23.25" customHeight="1">
      <c r="A72" s="41"/>
      <c r="B72" s="149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150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150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</row>
    <row r="73" ht="23.25" customHeight="1">
      <c r="A73" s="41"/>
      <c r="B73" s="149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150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150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</row>
    <row r="74" ht="23.25" customHeight="1">
      <c r="A74" s="41"/>
      <c r="B74" s="149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150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150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</row>
    <row r="75" ht="23.25" customHeight="1">
      <c r="A75" s="41"/>
      <c r="B75" s="149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150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150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</row>
    <row r="76" ht="23.25" customHeight="1">
      <c r="A76" s="41"/>
      <c r="B76" s="149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150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150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</row>
    <row r="77" ht="23.25" customHeight="1">
      <c r="A77" s="41"/>
      <c r="B77" s="149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150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150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</row>
    <row r="78" ht="23.25" customHeight="1">
      <c r="A78" s="41"/>
      <c r="B78" s="149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150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150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</row>
    <row r="79" ht="23.25" customHeight="1">
      <c r="A79" s="41"/>
      <c r="B79" s="149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150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150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</row>
    <row r="80" ht="23.25" customHeight="1">
      <c r="A80" s="41"/>
      <c r="B80" s="149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150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150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</row>
    <row r="81" ht="23.25" customHeight="1">
      <c r="A81" s="41"/>
      <c r="B81" s="149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150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150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</row>
    <row r="82" ht="23.25" customHeight="1">
      <c r="A82" s="41"/>
      <c r="B82" s="149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150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150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</row>
    <row r="83" ht="23.25" customHeight="1">
      <c r="A83" s="41"/>
      <c r="B83" s="149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150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150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</row>
    <row r="84" ht="23.25" customHeight="1">
      <c r="A84" s="41"/>
      <c r="B84" s="149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150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150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</row>
    <row r="85" ht="23.25" customHeight="1">
      <c r="A85" s="41"/>
      <c r="B85" s="149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150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150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</row>
    <row r="86" ht="23.25" customHeight="1">
      <c r="A86" s="41"/>
      <c r="B86" s="149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150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150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</row>
    <row r="87" ht="23.25" customHeight="1">
      <c r="A87" s="41"/>
      <c r="B87" s="149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150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150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</row>
    <row r="88" ht="23.25" customHeight="1">
      <c r="A88" s="41"/>
      <c r="B88" s="149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150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150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</row>
    <row r="89" ht="23.25" customHeight="1">
      <c r="A89" s="41"/>
      <c r="B89" s="149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150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150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</row>
    <row r="90" ht="23.25" customHeight="1">
      <c r="A90" s="41"/>
      <c r="B90" s="149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150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150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</row>
    <row r="91" ht="23.25" customHeight="1">
      <c r="A91" s="41"/>
      <c r="B91" s="149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150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150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</row>
    <row r="92" ht="23.25" customHeight="1">
      <c r="A92" s="41"/>
      <c r="B92" s="149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150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150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</row>
    <row r="93" ht="23.25" customHeight="1">
      <c r="A93" s="41"/>
      <c r="B93" s="149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150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150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</row>
    <row r="94" ht="23.25" customHeight="1">
      <c r="A94" s="41"/>
      <c r="B94" s="149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150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150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</row>
    <row r="95" ht="23.25" customHeight="1">
      <c r="A95" s="41"/>
      <c r="B95" s="149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150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150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</row>
    <row r="96" ht="23.25" customHeight="1">
      <c r="A96" s="41"/>
      <c r="B96" s="149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150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150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</row>
    <row r="97" ht="23.25" customHeight="1">
      <c r="A97" s="41"/>
      <c r="B97" s="149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150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150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</row>
    <row r="98" ht="23.25" customHeight="1">
      <c r="A98" s="41"/>
      <c r="B98" s="149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150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150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</row>
    <row r="99" ht="23.25" customHeight="1">
      <c r="A99" s="41"/>
      <c r="B99" s="149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150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150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</row>
    <row r="100" ht="23.25" customHeight="1">
      <c r="A100" s="41"/>
      <c r="B100" s="149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150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150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</row>
    <row r="101" ht="23.25" customHeight="1">
      <c r="A101" s="41"/>
      <c r="B101" s="149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150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150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</row>
    <row r="102" ht="23.25" customHeight="1">
      <c r="A102" s="41"/>
      <c r="B102" s="149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150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150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</row>
    <row r="103" ht="23.25" customHeight="1">
      <c r="A103" s="41"/>
      <c r="B103" s="149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150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150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</row>
    <row r="104" ht="23.25" customHeight="1">
      <c r="A104" s="41"/>
      <c r="B104" s="149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150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150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</row>
    <row r="105" ht="23.25" customHeight="1">
      <c r="A105" s="41"/>
      <c r="B105" s="149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150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150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</row>
    <row r="106" ht="23.25" customHeight="1">
      <c r="A106" s="41"/>
      <c r="B106" s="149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150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150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</row>
    <row r="107" ht="23.25" customHeight="1">
      <c r="A107" s="41"/>
      <c r="B107" s="149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150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150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</row>
    <row r="108" ht="23.25" customHeight="1">
      <c r="A108" s="41"/>
      <c r="B108" s="149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150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150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</row>
    <row r="109" ht="23.25" customHeight="1">
      <c r="A109" s="41"/>
      <c r="B109" s="149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150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150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</row>
    <row r="110" ht="23.25" customHeight="1">
      <c r="A110" s="41"/>
      <c r="B110" s="149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150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150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</row>
    <row r="111" ht="23.25" customHeight="1">
      <c r="A111" s="41"/>
      <c r="B111" s="149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150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150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</row>
    <row r="112" ht="23.25" customHeight="1">
      <c r="A112" s="41"/>
      <c r="B112" s="149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150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150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</row>
    <row r="113" ht="23.25" customHeight="1">
      <c r="A113" s="41"/>
      <c r="B113" s="149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150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150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</row>
    <row r="114" ht="23.25" customHeight="1">
      <c r="A114" s="41"/>
      <c r="B114" s="149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150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150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</row>
    <row r="115" ht="23.25" customHeight="1">
      <c r="A115" s="41"/>
      <c r="B115" s="149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150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150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</row>
    <row r="116" ht="23.25" customHeight="1">
      <c r="A116" s="41"/>
      <c r="B116" s="149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150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150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</row>
    <row r="117" ht="23.25" customHeight="1">
      <c r="A117" s="41"/>
      <c r="B117" s="149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150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150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</row>
    <row r="118" ht="23.25" customHeight="1">
      <c r="A118" s="41"/>
      <c r="B118" s="149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150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150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</row>
    <row r="119" ht="23.25" customHeight="1">
      <c r="A119" s="41"/>
      <c r="B119" s="149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150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150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</row>
    <row r="120" ht="23.25" customHeight="1">
      <c r="A120" s="41"/>
      <c r="B120" s="149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150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150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</row>
    <row r="121" ht="23.25" customHeight="1">
      <c r="A121" s="41"/>
      <c r="B121" s="149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150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150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</row>
    <row r="122" ht="23.25" customHeight="1">
      <c r="A122" s="41"/>
      <c r="B122" s="149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150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150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</row>
    <row r="123" ht="23.25" customHeight="1">
      <c r="A123" s="41"/>
      <c r="B123" s="149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150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150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</row>
    <row r="124" ht="23.25" customHeight="1">
      <c r="A124" s="41"/>
      <c r="B124" s="149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150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150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</row>
    <row r="125" ht="23.25" customHeight="1">
      <c r="A125" s="41"/>
      <c r="B125" s="149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150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150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</row>
    <row r="126" ht="23.25" customHeight="1">
      <c r="A126" s="41"/>
      <c r="B126" s="149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150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150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</row>
    <row r="127" ht="23.25" customHeight="1">
      <c r="A127" s="41"/>
      <c r="B127" s="149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150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150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</row>
    <row r="128" ht="23.25" customHeight="1">
      <c r="A128" s="41"/>
      <c r="B128" s="149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150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150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</row>
    <row r="129" ht="23.25" customHeight="1">
      <c r="A129" s="41"/>
      <c r="B129" s="149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150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150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</row>
    <row r="130" ht="23.25" customHeight="1">
      <c r="A130" s="41"/>
      <c r="B130" s="149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150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150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</row>
    <row r="131" ht="23.25" customHeight="1">
      <c r="A131" s="41"/>
      <c r="B131" s="149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150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150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</row>
    <row r="132" ht="23.25" customHeight="1">
      <c r="A132" s="41"/>
      <c r="B132" s="149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150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150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</row>
    <row r="133" ht="23.25" customHeight="1">
      <c r="A133" s="41"/>
      <c r="B133" s="149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150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150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</row>
    <row r="134" ht="23.25" customHeight="1">
      <c r="A134" s="41"/>
      <c r="B134" s="149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150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150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</row>
    <row r="135" ht="23.25" customHeight="1">
      <c r="A135" s="41"/>
      <c r="B135" s="149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150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150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</row>
    <row r="136" ht="23.25" customHeight="1">
      <c r="A136" s="41"/>
      <c r="B136" s="149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150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150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</row>
    <row r="137" ht="23.25" customHeight="1">
      <c r="A137" s="41"/>
      <c r="B137" s="149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150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150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</row>
    <row r="138" ht="23.25" customHeight="1">
      <c r="A138" s="41"/>
      <c r="B138" s="149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150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150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</row>
    <row r="139" ht="23.25" customHeight="1">
      <c r="A139" s="41"/>
      <c r="B139" s="149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150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150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</row>
    <row r="140" ht="23.25" customHeight="1">
      <c r="A140" s="41"/>
      <c r="B140" s="149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150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150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</row>
    <row r="141" ht="23.25" customHeight="1">
      <c r="A141" s="41"/>
      <c r="B141" s="149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150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150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</row>
    <row r="142" ht="23.25" customHeight="1">
      <c r="A142" s="41"/>
      <c r="B142" s="149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150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150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</row>
    <row r="143" ht="23.25" customHeight="1">
      <c r="A143" s="41"/>
      <c r="B143" s="149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150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150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</row>
    <row r="144" ht="23.25" customHeight="1">
      <c r="A144" s="41"/>
      <c r="B144" s="149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150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150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</row>
    <row r="145" ht="23.25" customHeight="1">
      <c r="A145" s="41"/>
      <c r="B145" s="149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150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150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</row>
    <row r="146" ht="23.25" customHeight="1">
      <c r="A146" s="41"/>
      <c r="B146" s="149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150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150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</row>
    <row r="147" ht="23.25" customHeight="1">
      <c r="A147" s="41"/>
      <c r="B147" s="149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150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150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</row>
    <row r="148" ht="23.25" customHeight="1">
      <c r="A148" s="41"/>
      <c r="B148" s="149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150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150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</row>
    <row r="149" ht="23.25" customHeight="1">
      <c r="A149" s="41"/>
      <c r="B149" s="149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150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150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</row>
    <row r="150" ht="23.25" customHeight="1">
      <c r="A150" s="41"/>
      <c r="B150" s="149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150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150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</row>
    <row r="151" ht="23.25" customHeight="1">
      <c r="A151" s="41"/>
      <c r="B151" s="149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150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150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</row>
    <row r="152" ht="23.25" customHeight="1">
      <c r="A152" s="41"/>
      <c r="B152" s="149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150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150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</row>
    <row r="153" ht="23.25" customHeight="1">
      <c r="A153" s="41"/>
      <c r="B153" s="149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150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150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</row>
    <row r="154" ht="23.25" customHeight="1">
      <c r="A154" s="41"/>
      <c r="B154" s="149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150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150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</row>
    <row r="155" ht="23.25" customHeight="1">
      <c r="A155" s="41"/>
      <c r="B155" s="149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150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150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</row>
    <row r="156" ht="23.25" customHeight="1">
      <c r="A156" s="41"/>
      <c r="B156" s="149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150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150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</row>
    <row r="157" ht="23.25" customHeight="1">
      <c r="A157" s="41"/>
      <c r="B157" s="149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150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150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</row>
    <row r="158" ht="23.25" customHeight="1">
      <c r="A158" s="41"/>
      <c r="B158" s="149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150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150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</row>
    <row r="159" ht="23.25" customHeight="1">
      <c r="A159" s="41"/>
      <c r="B159" s="149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150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150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</row>
    <row r="160" ht="23.25" customHeight="1">
      <c r="A160" s="41"/>
      <c r="B160" s="149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150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150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</row>
    <row r="161" ht="23.25" customHeight="1">
      <c r="A161" s="41"/>
      <c r="B161" s="149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150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150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</row>
    <row r="162" ht="23.25" customHeight="1">
      <c r="A162" s="41"/>
      <c r="B162" s="149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150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150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</row>
    <row r="163" ht="23.25" customHeight="1">
      <c r="A163" s="41"/>
      <c r="B163" s="149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150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150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</row>
    <row r="164" ht="23.25" customHeight="1">
      <c r="A164" s="41"/>
      <c r="B164" s="149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150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150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</row>
    <row r="165" ht="23.25" customHeight="1">
      <c r="A165" s="41"/>
      <c r="B165" s="149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150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150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</row>
    <row r="166" ht="23.25" customHeight="1">
      <c r="A166" s="41"/>
      <c r="B166" s="149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150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150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</row>
    <row r="167" ht="23.25" customHeight="1">
      <c r="A167" s="41"/>
      <c r="B167" s="149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150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150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</row>
    <row r="168" ht="23.25" customHeight="1">
      <c r="A168" s="41"/>
      <c r="B168" s="149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150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150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</row>
    <row r="169" ht="23.25" customHeight="1">
      <c r="A169" s="41"/>
      <c r="B169" s="149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150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150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</row>
    <row r="170" ht="23.25" customHeight="1">
      <c r="A170" s="41"/>
      <c r="B170" s="149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150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150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</row>
    <row r="171" ht="23.25" customHeight="1">
      <c r="A171" s="41"/>
      <c r="B171" s="149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150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150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</row>
    <row r="172" ht="23.25" customHeight="1">
      <c r="A172" s="41"/>
      <c r="B172" s="149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150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150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</row>
    <row r="173" ht="23.25" customHeight="1">
      <c r="A173" s="41"/>
      <c r="B173" s="149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150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150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</row>
    <row r="174" ht="23.25" customHeight="1">
      <c r="A174" s="41"/>
      <c r="B174" s="149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150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150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</row>
    <row r="175" ht="23.25" customHeight="1">
      <c r="A175" s="41"/>
      <c r="B175" s="149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150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150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</row>
    <row r="176" ht="23.25" customHeight="1">
      <c r="A176" s="41"/>
      <c r="B176" s="149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150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150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</row>
    <row r="177" ht="23.25" customHeight="1">
      <c r="A177" s="41"/>
      <c r="B177" s="149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150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150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</row>
    <row r="178" ht="23.25" customHeight="1">
      <c r="A178" s="41"/>
      <c r="B178" s="149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150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150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</row>
    <row r="179" ht="23.25" customHeight="1">
      <c r="A179" s="41"/>
      <c r="B179" s="149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150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150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</row>
    <row r="180" ht="23.25" customHeight="1">
      <c r="A180" s="41"/>
      <c r="B180" s="149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150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150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</row>
    <row r="181" ht="23.25" customHeight="1">
      <c r="A181" s="41"/>
      <c r="B181" s="149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150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150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</row>
    <row r="182" ht="23.25" customHeight="1">
      <c r="A182" s="41"/>
      <c r="B182" s="149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150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150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</row>
    <row r="183" ht="23.25" customHeight="1">
      <c r="A183" s="41"/>
      <c r="B183" s="149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150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150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</row>
    <row r="184" ht="23.25" customHeight="1">
      <c r="A184" s="41"/>
      <c r="B184" s="149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150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150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</row>
    <row r="185" ht="23.25" customHeight="1">
      <c r="A185" s="41"/>
      <c r="B185" s="149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150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150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</row>
    <row r="186" ht="23.25" customHeight="1">
      <c r="A186" s="41"/>
      <c r="B186" s="149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150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150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</row>
    <row r="187" ht="23.25" customHeight="1">
      <c r="A187" s="41"/>
      <c r="B187" s="149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150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150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</row>
    <row r="188" ht="23.25" customHeight="1">
      <c r="A188" s="41"/>
      <c r="B188" s="149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150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150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</row>
    <row r="189" ht="23.25" customHeight="1">
      <c r="A189" s="41"/>
      <c r="B189" s="149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150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150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</row>
    <row r="190" ht="23.25" customHeight="1">
      <c r="A190" s="41"/>
      <c r="B190" s="149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150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150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</row>
    <row r="191" ht="23.25" customHeight="1">
      <c r="A191" s="41"/>
      <c r="B191" s="149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150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150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</row>
    <row r="192" ht="23.25" customHeight="1">
      <c r="A192" s="41"/>
      <c r="B192" s="149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150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150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</row>
    <row r="193" ht="23.25" customHeight="1">
      <c r="A193" s="41"/>
      <c r="B193" s="149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150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150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</row>
    <row r="194" ht="23.25" customHeight="1">
      <c r="A194" s="41"/>
      <c r="B194" s="149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150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150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</row>
    <row r="195" ht="23.25" customHeight="1">
      <c r="A195" s="41"/>
      <c r="B195" s="149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150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150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</row>
    <row r="196" ht="23.25" customHeight="1">
      <c r="A196" s="41"/>
      <c r="B196" s="149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150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150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</row>
    <row r="197" ht="23.25" customHeight="1">
      <c r="A197" s="41"/>
      <c r="B197" s="149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150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150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</row>
    <row r="198" ht="23.25" customHeight="1">
      <c r="A198" s="41"/>
      <c r="B198" s="149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150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150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</row>
    <row r="199" ht="23.25" customHeight="1">
      <c r="A199" s="41"/>
      <c r="B199" s="149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150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150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</row>
    <row r="200" ht="23.25" customHeight="1">
      <c r="A200" s="41"/>
      <c r="B200" s="149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150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150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</row>
    <row r="201" ht="23.25" customHeight="1">
      <c r="A201" s="41"/>
      <c r="B201" s="149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150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150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</row>
    <row r="202" ht="23.25" customHeight="1">
      <c r="A202" s="41"/>
      <c r="B202" s="149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150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150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</row>
    <row r="203" ht="23.25" customHeight="1">
      <c r="A203" s="41"/>
      <c r="B203" s="149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150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150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</row>
    <row r="204" ht="23.25" customHeight="1">
      <c r="A204" s="41"/>
      <c r="B204" s="149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150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150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</row>
    <row r="205" ht="23.25" customHeight="1">
      <c r="A205" s="41"/>
      <c r="B205" s="149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150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150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</row>
    <row r="206" ht="23.25" customHeight="1">
      <c r="A206" s="41"/>
      <c r="B206" s="149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150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150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</row>
    <row r="207" ht="23.25" customHeight="1">
      <c r="A207" s="41"/>
      <c r="B207" s="149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150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150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</row>
    <row r="208" ht="23.25" customHeight="1">
      <c r="A208" s="41"/>
      <c r="B208" s="149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150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150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</row>
    <row r="209" ht="23.25" customHeight="1">
      <c r="A209" s="41"/>
      <c r="B209" s="149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150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150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</row>
    <row r="210" ht="23.25" customHeight="1">
      <c r="A210" s="41"/>
      <c r="B210" s="149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150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150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</row>
    <row r="211" ht="23.25" customHeight="1">
      <c r="A211" s="41"/>
      <c r="B211" s="149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150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150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</row>
    <row r="212" ht="23.25" customHeight="1">
      <c r="A212" s="41"/>
      <c r="B212" s="149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150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150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</row>
    <row r="213" ht="23.25" customHeight="1">
      <c r="A213" s="41"/>
      <c r="B213" s="149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150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150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</row>
    <row r="214" ht="23.25" customHeight="1">
      <c r="A214" s="41"/>
      <c r="B214" s="149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150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150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</row>
    <row r="215" ht="23.25" customHeight="1">
      <c r="A215" s="41"/>
      <c r="B215" s="149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150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150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</row>
    <row r="216" ht="23.25" customHeight="1">
      <c r="A216" s="41"/>
      <c r="B216" s="149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150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150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</row>
    <row r="217" ht="23.25" customHeight="1">
      <c r="A217" s="41"/>
      <c r="B217" s="149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150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150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</row>
    <row r="218" ht="23.25" customHeight="1">
      <c r="A218" s="41"/>
      <c r="B218" s="149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150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150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</row>
    <row r="219" ht="23.25" customHeight="1">
      <c r="A219" s="41"/>
      <c r="B219" s="149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150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150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</row>
    <row r="220" ht="23.25" customHeight="1">
      <c r="A220" s="41"/>
      <c r="B220" s="149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150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150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</row>
    <row r="221" ht="23.25" customHeight="1">
      <c r="A221" s="41"/>
      <c r="B221" s="149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150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150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</row>
    <row r="222" ht="23.25" customHeight="1">
      <c r="A222" s="41"/>
      <c r="B222" s="149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150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150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</row>
    <row r="223" ht="23.25" customHeight="1">
      <c r="A223" s="41"/>
      <c r="B223" s="149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150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150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</row>
    <row r="224" ht="23.25" customHeight="1">
      <c r="A224" s="41"/>
      <c r="B224" s="149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150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150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</row>
    <row r="225" ht="23.25" customHeight="1">
      <c r="A225" s="41"/>
      <c r="B225" s="149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150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150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</row>
    <row r="226" ht="23.25" customHeight="1">
      <c r="A226" s="41"/>
      <c r="B226" s="149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150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150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</row>
    <row r="227" ht="23.25" customHeight="1">
      <c r="A227" s="41"/>
      <c r="B227" s="149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150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150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</row>
    <row r="228" ht="23.25" customHeight="1">
      <c r="A228" s="41"/>
      <c r="B228" s="149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150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150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</row>
    <row r="229" ht="23.25" customHeight="1">
      <c r="A229" s="41"/>
      <c r="B229" s="149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150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150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</row>
    <row r="230" ht="23.25" customHeight="1">
      <c r="A230" s="41"/>
      <c r="B230" s="149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150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150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</row>
    <row r="231" ht="23.25" customHeight="1">
      <c r="A231" s="41"/>
      <c r="B231" s="149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150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150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</row>
    <row r="232" ht="23.25" customHeight="1">
      <c r="A232" s="41"/>
      <c r="B232" s="149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150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150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</row>
    <row r="233" ht="23.25" customHeight="1">
      <c r="A233" s="41"/>
      <c r="B233" s="149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150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150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</row>
    <row r="234" ht="23.25" customHeight="1">
      <c r="A234" s="41"/>
      <c r="B234" s="149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150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150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</row>
    <row r="235" ht="23.25" customHeight="1">
      <c r="A235" s="41"/>
      <c r="B235" s="149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150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150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</row>
    <row r="236" ht="23.25" customHeight="1">
      <c r="A236" s="41"/>
      <c r="B236" s="149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150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150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</row>
    <row r="237" ht="23.25" customHeight="1">
      <c r="A237" s="41"/>
      <c r="B237" s="149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150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150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</row>
    <row r="238" ht="23.25" customHeight="1">
      <c r="A238" s="41"/>
      <c r="B238" s="149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150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150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</row>
    <row r="239" ht="23.25" customHeight="1">
      <c r="A239" s="41"/>
      <c r="B239" s="149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150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150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</row>
    <row r="240" ht="23.25" customHeight="1">
      <c r="A240" s="41"/>
      <c r="B240" s="149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150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150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</row>
    <row r="241" ht="23.25" customHeight="1">
      <c r="A241" s="41"/>
      <c r="B241" s="149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150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150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</row>
    <row r="242" ht="23.25" customHeight="1">
      <c r="A242" s="41"/>
      <c r="B242" s="149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150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150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</row>
    <row r="243" ht="23.25" customHeight="1">
      <c r="A243" s="41"/>
      <c r="B243" s="149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150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150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</row>
    <row r="244" ht="23.25" customHeight="1">
      <c r="A244" s="41"/>
      <c r="B244" s="149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150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150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</row>
    <row r="245" ht="23.25" customHeight="1">
      <c r="A245" s="41"/>
      <c r="B245" s="149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150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150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</row>
    <row r="246" ht="23.25" customHeight="1">
      <c r="A246" s="41"/>
      <c r="B246" s="149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150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150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</row>
    <row r="247" ht="23.25" customHeight="1">
      <c r="A247" s="41"/>
      <c r="B247" s="149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150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150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</row>
    <row r="248" ht="23.25" customHeight="1">
      <c r="A248" s="41"/>
      <c r="B248" s="149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150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150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</row>
    <row r="249" ht="23.25" customHeight="1">
      <c r="A249" s="41"/>
      <c r="B249" s="149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150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150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</row>
    <row r="250" ht="23.25" customHeight="1">
      <c r="A250" s="41"/>
      <c r="B250" s="149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150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150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</row>
    <row r="251" ht="23.25" customHeight="1">
      <c r="A251" s="41"/>
      <c r="B251" s="149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150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150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</row>
    <row r="252" ht="23.25" customHeight="1">
      <c r="A252" s="41"/>
      <c r="B252" s="149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150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150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</row>
    <row r="253" ht="23.25" customHeight="1">
      <c r="A253" s="41"/>
      <c r="B253" s="149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150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150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</row>
    <row r="254" ht="23.25" customHeight="1">
      <c r="A254" s="41"/>
      <c r="B254" s="149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150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150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</row>
    <row r="255" ht="23.25" customHeight="1">
      <c r="A255" s="41"/>
      <c r="B255" s="149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150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150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</row>
    <row r="256" ht="23.25" customHeight="1">
      <c r="A256" s="41"/>
      <c r="B256" s="149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150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150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</row>
    <row r="257" ht="23.25" customHeight="1">
      <c r="A257" s="41"/>
      <c r="B257" s="149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150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150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</row>
    <row r="258" ht="23.25" customHeight="1">
      <c r="A258" s="41"/>
      <c r="B258" s="149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150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150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</row>
    <row r="259" ht="23.25" customHeight="1">
      <c r="A259" s="41"/>
      <c r="B259" s="149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150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150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</row>
    <row r="260" ht="23.25" customHeight="1">
      <c r="A260" s="41"/>
      <c r="B260" s="149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150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150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</row>
    <row r="261" ht="23.25" customHeight="1">
      <c r="A261" s="41"/>
      <c r="B261" s="149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150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150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</row>
    <row r="262" ht="23.25" customHeight="1">
      <c r="A262" s="41"/>
      <c r="B262" s="149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150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150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</row>
    <row r="263" ht="23.25" customHeight="1">
      <c r="A263" s="41"/>
      <c r="B263" s="149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150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150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</row>
    <row r="264" ht="23.25" customHeight="1">
      <c r="A264" s="41"/>
      <c r="B264" s="149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150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150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</row>
    <row r="265" ht="23.25" customHeight="1">
      <c r="A265" s="41"/>
      <c r="B265" s="149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150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150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</row>
    <row r="266" ht="23.25" customHeight="1">
      <c r="A266" s="41"/>
      <c r="B266" s="149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150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150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</row>
    <row r="267" ht="23.25" customHeight="1">
      <c r="A267" s="41"/>
      <c r="B267" s="149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150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150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</row>
    <row r="268" ht="23.25" customHeight="1">
      <c r="A268" s="41"/>
      <c r="B268" s="149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150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150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</row>
    <row r="269" ht="23.25" customHeight="1">
      <c r="A269" s="41"/>
      <c r="B269" s="149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150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150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</row>
    <row r="270" ht="23.25" customHeight="1">
      <c r="A270" s="41"/>
      <c r="B270" s="149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150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150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</row>
    <row r="271" ht="23.25" customHeight="1">
      <c r="A271" s="41"/>
      <c r="B271" s="149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150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150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</row>
    <row r="272" ht="23.25" customHeight="1">
      <c r="A272" s="41"/>
      <c r="B272" s="149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150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150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</row>
    <row r="273" ht="23.25" customHeight="1">
      <c r="A273" s="41"/>
      <c r="B273" s="149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150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150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</row>
    <row r="274" ht="23.25" customHeight="1">
      <c r="A274" s="41"/>
      <c r="B274" s="149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150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150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</row>
    <row r="275" ht="23.25" customHeight="1">
      <c r="A275" s="41"/>
      <c r="B275" s="149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150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150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</row>
    <row r="276" ht="23.25" customHeight="1">
      <c r="A276" s="41"/>
      <c r="B276" s="149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150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150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</row>
    <row r="277" ht="23.25" customHeight="1">
      <c r="A277" s="41"/>
      <c r="B277" s="149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150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150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</row>
    <row r="278" ht="23.25" customHeight="1">
      <c r="A278" s="41"/>
      <c r="B278" s="149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150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150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</row>
    <row r="279" ht="23.25" customHeight="1">
      <c r="A279" s="41"/>
      <c r="B279" s="149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150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150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</row>
    <row r="280" ht="23.25" customHeight="1">
      <c r="A280" s="41"/>
      <c r="B280" s="149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150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150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</row>
    <row r="281" ht="23.25" customHeight="1">
      <c r="A281" s="41"/>
      <c r="B281" s="149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150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150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</row>
    <row r="282" ht="23.25" customHeight="1">
      <c r="A282" s="41"/>
      <c r="B282" s="149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150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150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</row>
    <row r="283" ht="23.25" customHeight="1">
      <c r="A283" s="41"/>
      <c r="B283" s="149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150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150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</row>
    <row r="284" ht="23.25" customHeight="1">
      <c r="A284" s="41"/>
      <c r="B284" s="149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150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150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</row>
    <row r="285" ht="23.25" customHeight="1">
      <c r="A285" s="41"/>
      <c r="B285" s="149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150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150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</row>
    <row r="286" ht="23.25" customHeight="1">
      <c r="A286" s="41"/>
      <c r="B286" s="149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150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150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</row>
    <row r="287" ht="23.25" customHeight="1">
      <c r="A287" s="41"/>
      <c r="B287" s="149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150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150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</row>
    <row r="288" ht="23.25" customHeight="1">
      <c r="A288" s="41"/>
      <c r="B288" s="149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150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150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</row>
    <row r="289" ht="23.25" customHeight="1">
      <c r="A289" s="41"/>
      <c r="B289" s="149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150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150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</row>
    <row r="290" ht="23.25" customHeight="1">
      <c r="A290" s="41"/>
      <c r="B290" s="149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150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150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</row>
    <row r="291" ht="23.25" customHeight="1">
      <c r="A291" s="41"/>
      <c r="B291" s="149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150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150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</row>
    <row r="292" ht="23.25" customHeight="1">
      <c r="A292" s="41"/>
      <c r="B292" s="149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150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150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</row>
    <row r="293" ht="23.25" customHeight="1">
      <c r="A293" s="41"/>
      <c r="B293" s="149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150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150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</row>
    <row r="294" ht="23.25" customHeight="1">
      <c r="A294" s="41"/>
      <c r="B294" s="149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150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150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</row>
    <row r="295" ht="23.25" customHeight="1">
      <c r="A295" s="41"/>
      <c r="B295" s="149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150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150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</row>
    <row r="296" ht="23.25" customHeight="1">
      <c r="A296" s="41"/>
      <c r="B296" s="149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150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150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</row>
    <row r="297" ht="23.25" customHeight="1">
      <c r="A297" s="41"/>
      <c r="B297" s="149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150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150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</row>
    <row r="298" ht="23.25" customHeight="1">
      <c r="A298" s="41"/>
      <c r="B298" s="149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150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150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</row>
    <row r="299" ht="23.25" customHeight="1">
      <c r="A299" s="41"/>
      <c r="B299" s="149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150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150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</row>
    <row r="300" ht="23.25" customHeight="1">
      <c r="A300" s="41"/>
      <c r="B300" s="149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150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150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</row>
    <row r="301" ht="23.25" customHeight="1">
      <c r="A301" s="41"/>
      <c r="B301" s="149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150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150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</row>
    <row r="302" ht="23.25" customHeight="1">
      <c r="A302" s="41"/>
      <c r="B302" s="149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150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150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</row>
    <row r="303" ht="23.25" customHeight="1">
      <c r="A303" s="41"/>
      <c r="B303" s="149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150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150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</row>
    <row r="304" ht="23.25" customHeight="1">
      <c r="A304" s="41"/>
      <c r="B304" s="149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150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150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</row>
    <row r="305" ht="23.25" customHeight="1">
      <c r="A305" s="41"/>
      <c r="B305" s="149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150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150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</row>
    <row r="306" ht="23.25" customHeight="1">
      <c r="A306" s="41"/>
      <c r="B306" s="149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150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150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</row>
    <row r="307" ht="23.25" customHeight="1">
      <c r="A307" s="41"/>
      <c r="B307" s="149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150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150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</row>
    <row r="308" ht="23.25" customHeight="1">
      <c r="A308" s="41"/>
      <c r="B308" s="149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150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150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</row>
    <row r="309" ht="23.25" customHeight="1">
      <c r="A309" s="41"/>
      <c r="B309" s="149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150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150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</row>
    <row r="310" ht="23.25" customHeight="1">
      <c r="A310" s="41"/>
      <c r="B310" s="149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150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150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</row>
    <row r="311" ht="23.25" customHeight="1">
      <c r="A311" s="41"/>
      <c r="B311" s="149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150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150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</row>
    <row r="312" ht="23.25" customHeight="1">
      <c r="A312" s="41"/>
      <c r="B312" s="149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150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150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</row>
    <row r="313" ht="23.25" customHeight="1">
      <c r="A313" s="41"/>
      <c r="B313" s="149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150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150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</row>
    <row r="314" ht="23.25" customHeight="1">
      <c r="A314" s="41"/>
      <c r="B314" s="149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150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150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</row>
    <row r="315" ht="23.25" customHeight="1">
      <c r="A315" s="41"/>
      <c r="B315" s="149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150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150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</row>
    <row r="316" ht="23.25" customHeight="1">
      <c r="A316" s="41"/>
      <c r="B316" s="149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150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150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</row>
    <row r="317" ht="23.25" customHeight="1">
      <c r="A317" s="41"/>
      <c r="B317" s="149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150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150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</row>
    <row r="318" ht="23.25" customHeight="1">
      <c r="A318" s="41"/>
      <c r="B318" s="149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150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150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</row>
    <row r="319" ht="23.25" customHeight="1">
      <c r="A319" s="41"/>
      <c r="B319" s="149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150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150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</row>
    <row r="320" ht="23.25" customHeight="1">
      <c r="A320" s="41"/>
      <c r="B320" s="149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150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150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</row>
    <row r="321" ht="23.25" customHeight="1">
      <c r="A321" s="41"/>
      <c r="B321" s="149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150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150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</row>
    <row r="322" ht="23.25" customHeight="1">
      <c r="A322" s="41"/>
      <c r="B322" s="149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150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150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</row>
    <row r="323" ht="23.25" customHeight="1">
      <c r="A323" s="41"/>
      <c r="B323" s="149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150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150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</row>
    <row r="324" ht="23.25" customHeight="1">
      <c r="A324" s="41"/>
      <c r="B324" s="149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150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150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</row>
    <row r="325" ht="23.25" customHeight="1">
      <c r="A325" s="41"/>
      <c r="B325" s="149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150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150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</row>
    <row r="326" ht="23.25" customHeight="1">
      <c r="A326" s="41"/>
      <c r="B326" s="149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150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150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</row>
    <row r="327" ht="23.25" customHeight="1">
      <c r="A327" s="41"/>
      <c r="B327" s="149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150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150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</row>
    <row r="328" ht="23.25" customHeight="1">
      <c r="A328" s="41"/>
      <c r="B328" s="149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150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150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</row>
    <row r="329" ht="23.25" customHeight="1">
      <c r="A329" s="41"/>
      <c r="B329" s="149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150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150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</row>
    <row r="330" ht="23.25" customHeight="1">
      <c r="A330" s="41"/>
      <c r="B330" s="149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150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150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</row>
    <row r="331" ht="23.25" customHeight="1">
      <c r="A331" s="41"/>
      <c r="B331" s="149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150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150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</row>
    <row r="332" ht="23.25" customHeight="1">
      <c r="A332" s="41"/>
      <c r="B332" s="149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150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150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</row>
    <row r="333" ht="23.25" customHeight="1">
      <c r="A333" s="41"/>
      <c r="B333" s="149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150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150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</row>
    <row r="334" ht="23.25" customHeight="1">
      <c r="A334" s="41"/>
      <c r="B334" s="149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150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150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</row>
    <row r="335" ht="23.25" customHeight="1">
      <c r="A335" s="41"/>
      <c r="B335" s="149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150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150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</row>
    <row r="336" ht="23.25" customHeight="1">
      <c r="A336" s="41"/>
      <c r="B336" s="149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150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150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</row>
    <row r="337" ht="23.25" customHeight="1">
      <c r="A337" s="41"/>
      <c r="B337" s="149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150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150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</row>
    <row r="338" ht="23.25" customHeight="1">
      <c r="A338" s="41"/>
      <c r="B338" s="149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150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150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</row>
    <row r="339" ht="23.25" customHeight="1">
      <c r="A339" s="41"/>
      <c r="B339" s="149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150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150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</row>
    <row r="340" ht="23.25" customHeight="1">
      <c r="A340" s="41"/>
      <c r="B340" s="149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150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150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</row>
    <row r="341" ht="23.25" customHeight="1">
      <c r="A341" s="41"/>
      <c r="B341" s="149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150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150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</row>
    <row r="342" ht="23.25" customHeight="1">
      <c r="A342" s="41"/>
      <c r="B342" s="149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150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150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</row>
    <row r="343" ht="23.25" customHeight="1">
      <c r="A343" s="41"/>
      <c r="B343" s="149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150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150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</row>
    <row r="344" ht="23.25" customHeight="1">
      <c r="A344" s="41"/>
      <c r="B344" s="149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150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150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</row>
    <row r="345" ht="23.25" customHeight="1">
      <c r="A345" s="41"/>
      <c r="B345" s="149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150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150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</row>
    <row r="346" ht="23.25" customHeight="1">
      <c r="A346" s="41"/>
      <c r="B346" s="149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150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150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</row>
    <row r="347" ht="23.25" customHeight="1">
      <c r="A347" s="41"/>
      <c r="B347" s="149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150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150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</row>
    <row r="348" ht="23.25" customHeight="1">
      <c r="A348" s="41"/>
      <c r="B348" s="149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150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150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</row>
    <row r="349" ht="23.25" customHeight="1">
      <c r="A349" s="41"/>
      <c r="B349" s="149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150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150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</row>
    <row r="350" ht="23.25" customHeight="1">
      <c r="A350" s="41"/>
      <c r="B350" s="149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150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150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</row>
    <row r="351" ht="23.25" customHeight="1">
      <c r="A351" s="41"/>
      <c r="B351" s="149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150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150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</row>
    <row r="352" ht="23.25" customHeight="1">
      <c r="A352" s="41"/>
      <c r="B352" s="149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150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150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</row>
    <row r="353" ht="23.25" customHeight="1">
      <c r="A353" s="41"/>
      <c r="B353" s="149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150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150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</row>
    <row r="354" ht="23.25" customHeight="1">
      <c r="A354" s="41"/>
      <c r="B354" s="149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150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150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</row>
    <row r="355" ht="23.25" customHeight="1">
      <c r="A355" s="41"/>
      <c r="B355" s="149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150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150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</row>
    <row r="356" ht="23.25" customHeight="1">
      <c r="A356" s="41"/>
      <c r="B356" s="149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150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150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</row>
    <row r="357" ht="23.25" customHeight="1">
      <c r="A357" s="41"/>
      <c r="B357" s="149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150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150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</row>
    <row r="358" ht="23.25" customHeight="1">
      <c r="A358" s="41"/>
      <c r="B358" s="149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150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150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</row>
    <row r="359" ht="23.25" customHeight="1">
      <c r="A359" s="41"/>
      <c r="B359" s="149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150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150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</row>
    <row r="360" ht="23.25" customHeight="1">
      <c r="A360" s="41"/>
      <c r="B360" s="149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150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150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</row>
    <row r="361" ht="23.25" customHeight="1">
      <c r="A361" s="41"/>
      <c r="B361" s="149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150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150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</row>
    <row r="362" ht="23.25" customHeight="1">
      <c r="A362" s="41"/>
      <c r="B362" s="149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150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150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</row>
    <row r="363" ht="23.25" customHeight="1">
      <c r="A363" s="41"/>
      <c r="B363" s="149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150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150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</row>
    <row r="364" ht="23.25" customHeight="1">
      <c r="A364" s="41"/>
      <c r="B364" s="149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150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150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</row>
    <row r="365" ht="23.25" customHeight="1">
      <c r="A365" s="41"/>
      <c r="B365" s="149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150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150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</row>
    <row r="366" ht="23.25" customHeight="1">
      <c r="A366" s="41"/>
      <c r="B366" s="149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150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150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</row>
    <row r="367" ht="23.25" customHeight="1">
      <c r="A367" s="41"/>
      <c r="B367" s="149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150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150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</row>
    <row r="368" ht="23.25" customHeight="1">
      <c r="A368" s="41"/>
      <c r="B368" s="149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150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150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</row>
    <row r="369" ht="23.25" customHeight="1">
      <c r="A369" s="41"/>
      <c r="B369" s="149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150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150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</row>
    <row r="370" ht="23.25" customHeight="1">
      <c r="A370" s="41"/>
      <c r="B370" s="149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150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150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</row>
    <row r="371" ht="23.25" customHeight="1">
      <c r="A371" s="41"/>
      <c r="B371" s="149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150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150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</row>
    <row r="372" ht="23.25" customHeight="1">
      <c r="A372" s="41"/>
      <c r="B372" s="149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150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150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</row>
    <row r="373" ht="23.25" customHeight="1">
      <c r="A373" s="41"/>
      <c r="B373" s="149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150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150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</row>
    <row r="374" ht="23.25" customHeight="1">
      <c r="A374" s="41"/>
      <c r="B374" s="149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150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150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</row>
    <row r="375" ht="23.25" customHeight="1">
      <c r="A375" s="41"/>
      <c r="B375" s="149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150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150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</row>
    <row r="376" ht="23.25" customHeight="1">
      <c r="A376" s="41"/>
      <c r="B376" s="149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150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150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</row>
    <row r="377" ht="23.25" customHeight="1">
      <c r="A377" s="41"/>
      <c r="B377" s="149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150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150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</row>
    <row r="378" ht="23.25" customHeight="1">
      <c r="A378" s="41"/>
      <c r="B378" s="149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150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150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</row>
    <row r="379" ht="23.25" customHeight="1">
      <c r="A379" s="41"/>
      <c r="B379" s="149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150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150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</row>
    <row r="380" ht="23.25" customHeight="1">
      <c r="A380" s="41"/>
      <c r="B380" s="149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150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150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</row>
    <row r="381" ht="23.25" customHeight="1">
      <c r="A381" s="41"/>
      <c r="B381" s="149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150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150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</row>
    <row r="382" ht="23.25" customHeight="1">
      <c r="A382" s="41"/>
      <c r="B382" s="149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150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150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</row>
    <row r="383" ht="23.25" customHeight="1">
      <c r="A383" s="41"/>
      <c r="B383" s="149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150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150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</row>
    <row r="384" ht="23.25" customHeight="1">
      <c r="A384" s="41"/>
      <c r="B384" s="149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150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150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</row>
    <row r="385" ht="23.25" customHeight="1">
      <c r="A385" s="41"/>
      <c r="B385" s="149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150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150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</row>
    <row r="386" ht="23.25" customHeight="1">
      <c r="A386" s="41"/>
      <c r="B386" s="149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150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150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</row>
    <row r="387" ht="23.25" customHeight="1">
      <c r="A387" s="41"/>
      <c r="B387" s="149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150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150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</row>
    <row r="388" ht="23.25" customHeight="1">
      <c r="A388" s="41"/>
      <c r="B388" s="149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150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150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</row>
    <row r="389" ht="23.25" customHeight="1">
      <c r="A389" s="41"/>
      <c r="B389" s="149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150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150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</row>
    <row r="390" ht="23.25" customHeight="1">
      <c r="A390" s="41"/>
      <c r="B390" s="149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150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150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</row>
    <row r="391" ht="23.25" customHeight="1">
      <c r="A391" s="41"/>
      <c r="B391" s="149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150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150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</row>
    <row r="392" ht="23.25" customHeight="1">
      <c r="A392" s="41"/>
      <c r="B392" s="149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150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150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</row>
    <row r="393" ht="23.25" customHeight="1">
      <c r="A393" s="41"/>
      <c r="B393" s="149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150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150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</row>
    <row r="394" ht="23.25" customHeight="1">
      <c r="A394" s="41"/>
      <c r="B394" s="149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150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150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</row>
    <row r="395" ht="23.25" customHeight="1">
      <c r="A395" s="41"/>
      <c r="B395" s="149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150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150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</row>
    <row r="396" ht="23.25" customHeight="1">
      <c r="A396" s="41"/>
      <c r="B396" s="149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150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150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</row>
    <row r="397" ht="23.25" customHeight="1">
      <c r="A397" s="41"/>
      <c r="B397" s="149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150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150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</row>
    <row r="398" ht="23.25" customHeight="1">
      <c r="A398" s="41"/>
      <c r="B398" s="149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150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150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</row>
    <row r="399" ht="23.25" customHeight="1">
      <c r="A399" s="41"/>
      <c r="B399" s="149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150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150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</row>
    <row r="400" ht="23.25" customHeight="1">
      <c r="A400" s="41"/>
      <c r="B400" s="149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150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150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</row>
    <row r="401" ht="23.25" customHeight="1">
      <c r="A401" s="41"/>
      <c r="B401" s="149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150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150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</row>
    <row r="402" ht="23.25" customHeight="1">
      <c r="A402" s="41"/>
      <c r="B402" s="149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150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150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</row>
    <row r="403" ht="23.25" customHeight="1">
      <c r="A403" s="41"/>
      <c r="B403" s="149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150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150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</row>
    <row r="404" ht="23.25" customHeight="1">
      <c r="A404" s="41"/>
      <c r="B404" s="149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150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150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</row>
    <row r="405" ht="23.25" customHeight="1">
      <c r="A405" s="41"/>
      <c r="B405" s="149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150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150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</row>
    <row r="406" ht="23.25" customHeight="1">
      <c r="A406" s="41"/>
      <c r="B406" s="149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150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150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</row>
    <row r="407" ht="23.25" customHeight="1">
      <c r="A407" s="41"/>
      <c r="B407" s="149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150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150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</row>
    <row r="408" ht="23.25" customHeight="1">
      <c r="A408" s="41"/>
      <c r="B408" s="149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150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150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</row>
    <row r="409" ht="23.25" customHeight="1">
      <c r="A409" s="41"/>
      <c r="B409" s="149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150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150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</row>
    <row r="410" ht="23.25" customHeight="1">
      <c r="A410" s="41"/>
      <c r="B410" s="149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150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150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</row>
    <row r="411" ht="23.25" customHeight="1">
      <c r="A411" s="41"/>
      <c r="B411" s="149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150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150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</row>
    <row r="412" ht="23.25" customHeight="1">
      <c r="A412" s="41"/>
      <c r="B412" s="149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150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150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</row>
    <row r="413" ht="23.25" customHeight="1">
      <c r="A413" s="41"/>
      <c r="B413" s="149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150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150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</row>
    <row r="414" ht="23.25" customHeight="1">
      <c r="A414" s="41"/>
      <c r="B414" s="149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150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150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</row>
    <row r="415" ht="23.25" customHeight="1">
      <c r="A415" s="41"/>
      <c r="B415" s="149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150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150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</row>
    <row r="416" ht="23.25" customHeight="1">
      <c r="A416" s="41"/>
      <c r="B416" s="149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150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150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</row>
    <row r="417" ht="23.25" customHeight="1">
      <c r="A417" s="41"/>
      <c r="B417" s="149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150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150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</row>
    <row r="418" ht="23.25" customHeight="1">
      <c r="A418" s="41"/>
      <c r="B418" s="149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150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150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</row>
    <row r="419" ht="23.25" customHeight="1">
      <c r="A419" s="41"/>
      <c r="B419" s="149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150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150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</row>
    <row r="420" ht="23.25" customHeight="1">
      <c r="A420" s="41"/>
      <c r="B420" s="149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150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150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</row>
    <row r="421" ht="23.25" customHeight="1">
      <c r="A421" s="41"/>
      <c r="B421" s="149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150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150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</row>
    <row r="422" ht="23.25" customHeight="1">
      <c r="A422" s="41"/>
      <c r="B422" s="149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150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150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</row>
    <row r="423" ht="23.25" customHeight="1">
      <c r="A423" s="41"/>
      <c r="B423" s="149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150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150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</row>
    <row r="424" ht="23.25" customHeight="1">
      <c r="A424" s="41"/>
      <c r="B424" s="149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150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150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</row>
    <row r="425" ht="23.25" customHeight="1">
      <c r="A425" s="41"/>
      <c r="B425" s="149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150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150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</row>
    <row r="426" ht="23.25" customHeight="1">
      <c r="A426" s="41"/>
      <c r="B426" s="149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150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150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</row>
    <row r="427" ht="23.25" customHeight="1">
      <c r="A427" s="41"/>
      <c r="B427" s="149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150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150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</row>
    <row r="428" ht="23.25" customHeight="1">
      <c r="A428" s="41"/>
      <c r="B428" s="149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150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150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</row>
    <row r="429" ht="23.25" customHeight="1">
      <c r="A429" s="41"/>
      <c r="B429" s="149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150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150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</row>
    <row r="430" ht="23.25" customHeight="1">
      <c r="A430" s="41"/>
      <c r="B430" s="149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150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150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</row>
    <row r="431" ht="23.25" customHeight="1">
      <c r="A431" s="41"/>
      <c r="B431" s="149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150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150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</row>
    <row r="432" ht="23.25" customHeight="1">
      <c r="A432" s="41"/>
      <c r="B432" s="149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150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150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</row>
    <row r="433" ht="23.25" customHeight="1">
      <c r="A433" s="41"/>
      <c r="B433" s="149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150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150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</row>
    <row r="434" ht="23.25" customHeight="1">
      <c r="A434" s="41"/>
      <c r="B434" s="149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150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150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</row>
    <row r="435" ht="23.25" customHeight="1">
      <c r="A435" s="41"/>
      <c r="B435" s="149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150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150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</row>
    <row r="436" ht="23.25" customHeight="1">
      <c r="A436" s="41"/>
      <c r="B436" s="149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150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150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</row>
    <row r="437" ht="23.25" customHeight="1">
      <c r="A437" s="41"/>
      <c r="B437" s="149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150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150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</row>
    <row r="438" ht="23.25" customHeight="1">
      <c r="A438" s="41"/>
      <c r="B438" s="149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150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150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</row>
    <row r="439" ht="23.25" customHeight="1">
      <c r="A439" s="41"/>
      <c r="B439" s="149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150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150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</row>
    <row r="440" ht="23.25" customHeight="1">
      <c r="A440" s="41"/>
      <c r="B440" s="149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150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150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</row>
    <row r="441" ht="23.25" customHeight="1">
      <c r="A441" s="41"/>
      <c r="B441" s="149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150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150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</row>
    <row r="442" ht="23.25" customHeight="1">
      <c r="A442" s="41"/>
      <c r="B442" s="149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150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150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</row>
    <row r="443" ht="23.25" customHeight="1">
      <c r="A443" s="41"/>
      <c r="B443" s="149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150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150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</row>
    <row r="444" ht="23.25" customHeight="1">
      <c r="A444" s="41"/>
      <c r="B444" s="149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150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150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</row>
    <row r="445" ht="23.25" customHeight="1">
      <c r="A445" s="41"/>
      <c r="B445" s="149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150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150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</row>
    <row r="446" ht="23.25" customHeight="1">
      <c r="A446" s="41"/>
      <c r="B446" s="149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150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150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</row>
    <row r="447" ht="23.25" customHeight="1">
      <c r="A447" s="41"/>
      <c r="B447" s="149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150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150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</row>
    <row r="448" ht="23.25" customHeight="1">
      <c r="A448" s="41"/>
      <c r="B448" s="149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150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150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</row>
    <row r="449" ht="23.25" customHeight="1">
      <c r="A449" s="41"/>
      <c r="B449" s="149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150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150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</row>
    <row r="450" ht="23.25" customHeight="1">
      <c r="A450" s="41"/>
      <c r="B450" s="149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150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150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</row>
    <row r="451" ht="23.25" customHeight="1">
      <c r="A451" s="41"/>
      <c r="B451" s="149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150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150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</row>
    <row r="452" ht="23.25" customHeight="1">
      <c r="A452" s="41"/>
      <c r="B452" s="149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150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150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</row>
    <row r="453" ht="23.25" customHeight="1">
      <c r="A453" s="41"/>
      <c r="B453" s="149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150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150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</row>
    <row r="454" ht="23.25" customHeight="1">
      <c r="A454" s="41"/>
      <c r="B454" s="149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150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150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</row>
    <row r="455" ht="23.25" customHeight="1">
      <c r="A455" s="41"/>
      <c r="B455" s="149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150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150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</row>
    <row r="456" ht="23.25" customHeight="1">
      <c r="A456" s="41"/>
      <c r="B456" s="149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150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150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</row>
    <row r="457" ht="23.25" customHeight="1">
      <c r="A457" s="41"/>
      <c r="B457" s="149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150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150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</row>
    <row r="458" ht="23.25" customHeight="1">
      <c r="A458" s="41"/>
      <c r="B458" s="149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150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150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</row>
    <row r="459" ht="23.25" customHeight="1">
      <c r="A459" s="41"/>
      <c r="B459" s="149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150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150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</row>
    <row r="460" ht="23.25" customHeight="1">
      <c r="A460" s="41"/>
      <c r="B460" s="149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150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150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</row>
    <row r="461" ht="23.25" customHeight="1">
      <c r="A461" s="41"/>
      <c r="B461" s="149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150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150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</row>
    <row r="462" ht="23.25" customHeight="1">
      <c r="A462" s="41"/>
      <c r="B462" s="149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150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150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</row>
    <row r="463" ht="23.25" customHeight="1">
      <c r="A463" s="41"/>
      <c r="B463" s="149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150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150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</row>
    <row r="464" ht="23.25" customHeight="1">
      <c r="A464" s="41"/>
      <c r="B464" s="149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150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150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</row>
    <row r="465" ht="23.25" customHeight="1">
      <c r="A465" s="41"/>
      <c r="B465" s="149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150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150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</row>
    <row r="466" ht="23.25" customHeight="1">
      <c r="A466" s="41"/>
      <c r="B466" s="149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150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150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</row>
    <row r="467" ht="23.25" customHeight="1">
      <c r="A467" s="41"/>
      <c r="B467" s="149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150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150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</row>
    <row r="468" ht="23.25" customHeight="1">
      <c r="A468" s="41"/>
      <c r="B468" s="149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150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150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</row>
    <row r="469" ht="23.25" customHeight="1">
      <c r="A469" s="41"/>
      <c r="B469" s="149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150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150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</row>
    <row r="470" ht="23.25" customHeight="1">
      <c r="A470" s="41"/>
      <c r="B470" s="149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150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150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</row>
    <row r="471" ht="23.25" customHeight="1">
      <c r="A471" s="41"/>
      <c r="B471" s="149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150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150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</row>
    <row r="472" ht="23.25" customHeight="1">
      <c r="A472" s="41"/>
      <c r="B472" s="149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150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150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</row>
    <row r="473" ht="23.25" customHeight="1">
      <c r="A473" s="41"/>
      <c r="B473" s="149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150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150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</row>
    <row r="474" ht="23.25" customHeight="1">
      <c r="A474" s="41"/>
      <c r="B474" s="149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150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150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</row>
    <row r="475" ht="23.25" customHeight="1">
      <c r="A475" s="41"/>
      <c r="B475" s="149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150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150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</row>
    <row r="476" ht="23.25" customHeight="1">
      <c r="A476" s="41"/>
      <c r="B476" s="149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150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150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</row>
    <row r="477" ht="23.25" customHeight="1">
      <c r="A477" s="41"/>
      <c r="B477" s="149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150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150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</row>
    <row r="478" ht="23.25" customHeight="1">
      <c r="A478" s="41"/>
      <c r="B478" s="149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150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150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</row>
    <row r="479" ht="23.25" customHeight="1">
      <c r="A479" s="41"/>
      <c r="B479" s="149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150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150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</row>
    <row r="480" ht="23.25" customHeight="1">
      <c r="A480" s="41"/>
      <c r="B480" s="149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150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150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</row>
    <row r="481" ht="23.25" customHeight="1">
      <c r="A481" s="41"/>
      <c r="B481" s="149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150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150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</row>
    <row r="482" ht="23.25" customHeight="1">
      <c r="A482" s="41"/>
      <c r="B482" s="149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150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150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</row>
    <row r="483" ht="23.25" customHeight="1">
      <c r="A483" s="41"/>
      <c r="B483" s="149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150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150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</row>
    <row r="484" ht="23.25" customHeight="1">
      <c r="A484" s="41"/>
      <c r="B484" s="149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150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150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</row>
    <row r="485" ht="23.25" customHeight="1">
      <c r="A485" s="41"/>
      <c r="B485" s="149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150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150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</row>
    <row r="486" ht="23.25" customHeight="1">
      <c r="A486" s="41"/>
      <c r="B486" s="149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150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150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</row>
    <row r="487" ht="23.25" customHeight="1">
      <c r="A487" s="41"/>
      <c r="B487" s="149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150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150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</row>
    <row r="488" ht="23.25" customHeight="1">
      <c r="A488" s="41"/>
      <c r="B488" s="149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150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150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</row>
    <row r="489" ht="23.25" customHeight="1">
      <c r="A489" s="41"/>
      <c r="B489" s="149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150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150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</row>
    <row r="490" ht="23.25" customHeight="1">
      <c r="A490" s="41"/>
      <c r="B490" s="149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150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150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</row>
    <row r="491" ht="23.25" customHeight="1">
      <c r="A491" s="41"/>
      <c r="B491" s="149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150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150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</row>
    <row r="492" ht="23.25" customHeight="1">
      <c r="A492" s="41"/>
      <c r="B492" s="149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150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150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</row>
    <row r="493" ht="23.25" customHeight="1">
      <c r="A493" s="41"/>
      <c r="B493" s="149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150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150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</row>
    <row r="494" ht="23.25" customHeight="1">
      <c r="A494" s="41"/>
      <c r="B494" s="149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150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150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</row>
    <row r="495" ht="23.25" customHeight="1">
      <c r="A495" s="41"/>
      <c r="B495" s="149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150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150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</row>
    <row r="496" ht="23.25" customHeight="1">
      <c r="A496" s="41"/>
      <c r="B496" s="149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150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150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</row>
    <row r="497" ht="23.25" customHeight="1">
      <c r="A497" s="41"/>
      <c r="B497" s="149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150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150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</row>
    <row r="498" ht="23.25" customHeight="1">
      <c r="A498" s="41"/>
      <c r="B498" s="149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150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150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</row>
    <row r="499" ht="23.25" customHeight="1">
      <c r="A499" s="41"/>
      <c r="B499" s="149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150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150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</row>
    <row r="500" ht="23.25" customHeight="1">
      <c r="A500" s="41"/>
      <c r="B500" s="149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150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150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</row>
    <row r="501" ht="23.25" customHeight="1">
      <c r="A501" s="41"/>
      <c r="B501" s="149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150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150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</row>
    <row r="502" ht="23.25" customHeight="1">
      <c r="A502" s="41"/>
      <c r="B502" s="149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150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150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</row>
    <row r="503" ht="23.25" customHeight="1">
      <c r="A503" s="41"/>
      <c r="B503" s="149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150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150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</row>
    <row r="504" ht="23.25" customHeight="1">
      <c r="A504" s="41"/>
      <c r="B504" s="149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150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150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</row>
    <row r="505" ht="23.25" customHeight="1">
      <c r="A505" s="41"/>
      <c r="B505" s="149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150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150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</row>
    <row r="506" ht="23.25" customHeight="1">
      <c r="A506" s="41"/>
      <c r="B506" s="149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150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150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</row>
    <row r="507" ht="23.25" customHeight="1">
      <c r="A507" s="41"/>
      <c r="B507" s="149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150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150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</row>
    <row r="508" ht="23.25" customHeight="1">
      <c r="A508" s="41"/>
      <c r="B508" s="149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150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150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</row>
    <row r="509" ht="23.25" customHeight="1">
      <c r="A509" s="41"/>
      <c r="B509" s="149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150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150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</row>
    <row r="510" ht="23.25" customHeight="1">
      <c r="A510" s="41"/>
      <c r="B510" s="149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150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150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</row>
    <row r="511" ht="23.25" customHeight="1">
      <c r="A511" s="41"/>
      <c r="B511" s="149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150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150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</row>
    <row r="512" ht="23.25" customHeight="1">
      <c r="A512" s="41"/>
      <c r="B512" s="149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150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150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</row>
    <row r="513" ht="23.25" customHeight="1">
      <c r="A513" s="41"/>
      <c r="B513" s="149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150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150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</row>
    <row r="514" ht="23.25" customHeight="1">
      <c r="A514" s="41"/>
      <c r="B514" s="149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150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150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</row>
    <row r="515" ht="23.25" customHeight="1">
      <c r="A515" s="41"/>
      <c r="B515" s="149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150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150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</row>
    <row r="516" ht="23.25" customHeight="1">
      <c r="A516" s="41"/>
      <c r="B516" s="149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150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150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</row>
    <row r="517" ht="23.25" customHeight="1">
      <c r="A517" s="41"/>
      <c r="B517" s="149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150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150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</row>
    <row r="518" ht="23.25" customHeight="1">
      <c r="A518" s="41"/>
      <c r="B518" s="149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150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150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</row>
    <row r="519" ht="23.25" customHeight="1">
      <c r="A519" s="41"/>
      <c r="B519" s="149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150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150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</row>
    <row r="520" ht="23.25" customHeight="1">
      <c r="A520" s="41"/>
      <c r="B520" s="149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150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150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</row>
    <row r="521" ht="23.25" customHeight="1">
      <c r="A521" s="41"/>
      <c r="B521" s="149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150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150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</row>
    <row r="522" ht="23.25" customHeight="1">
      <c r="A522" s="41"/>
      <c r="B522" s="149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150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150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</row>
    <row r="523" ht="23.25" customHeight="1">
      <c r="A523" s="41"/>
      <c r="B523" s="149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150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150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</row>
    <row r="524" ht="23.25" customHeight="1">
      <c r="A524" s="41"/>
      <c r="B524" s="149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150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150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</row>
    <row r="525" ht="23.25" customHeight="1">
      <c r="A525" s="41"/>
      <c r="B525" s="149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150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150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</row>
    <row r="526" ht="23.25" customHeight="1">
      <c r="A526" s="41"/>
      <c r="B526" s="149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150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150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</row>
    <row r="527" ht="23.25" customHeight="1">
      <c r="A527" s="41"/>
      <c r="B527" s="149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150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150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</row>
    <row r="528" ht="23.25" customHeight="1">
      <c r="A528" s="41"/>
      <c r="B528" s="149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150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150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</row>
    <row r="529" ht="23.25" customHeight="1">
      <c r="A529" s="41"/>
      <c r="B529" s="149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150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150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</row>
    <row r="530" ht="23.25" customHeight="1">
      <c r="A530" s="41"/>
      <c r="B530" s="149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150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150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</row>
    <row r="531" ht="23.25" customHeight="1">
      <c r="A531" s="41"/>
      <c r="B531" s="149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150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150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</row>
    <row r="532" ht="23.25" customHeight="1">
      <c r="A532" s="41"/>
      <c r="B532" s="149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150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150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</row>
    <row r="533" ht="23.25" customHeight="1">
      <c r="A533" s="41"/>
      <c r="B533" s="149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150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150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</row>
    <row r="534" ht="23.25" customHeight="1">
      <c r="A534" s="41"/>
      <c r="B534" s="149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150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150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</row>
    <row r="535" ht="23.25" customHeight="1">
      <c r="A535" s="41"/>
      <c r="B535" s="149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150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150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</row>
    <row r="536" ht="23.25" customHeight="1">
      <c r="A536" s="41"/>
      <c r="B536" s="149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150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150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</row>
    <row r="537" ht="23.25" customHeight="1">
      <c r="A537" s="41"/>
      <c r="B537" s="149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150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150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</row>
    <row r="538" ht="23.25" customHeight="1">
      <c r="A538" s="41"/>
      <c r="B538" s="149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150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150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</row>
    <row r="539" ht="23.25" customHeight="1">
      <c r="A539" s="41"/>
      <c r="B539" s="149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150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150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</row>
    <row r="540" ht="23.25" customHeight="1">
      <c r="A540" s="41"/>
      <c r="B540" s="149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150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150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</row>
    <row r="541" ht="23.25" customHeight="1">
      <c r="A541" s="41"/>
      <c r="B541" s="149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150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150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</row>
    <row r="542" ht="23.25" customHeight="1">
      <c r="A542" s="41"/>
      <c r="B542" s="149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150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150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</row>
    <row r="543" ht="23.25" customHeight="1">
      <c r="A543" s="41"/>
      <c r="B543" s="149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150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150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</row>
    <row r="544" ht="23.25" customHeight="1">
      <c r="A544" s="41"/>
      <c r="B544" s="149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150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150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</row>
    <row r="545" ht="23.25" customHeight="1">
      <c r="A545" s="41"/>
      <c r="B545" s="149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150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150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</row>
    <row r="546" ht="23.25" customHeight="1">
      <c r="A546" s="41"/>
      <c r="B546" s="149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150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150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</row>
    <row r="547" ht="23.25" customHeight="1">
      <c r="A547" s="41"/>
      <c r="B547" s="149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150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150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</row>
    <row r="548" ht="23.25" customHeight="1">
      <c r="A548" s="41"/>
      <c r="B548" s="149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150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150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</row>
    <row r="549" ht="23.25" customHeight="1">
      <c r="A549" s="41"/>
      <c r="B549" s="149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150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150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</row>
    <row r="550" ht="23.25" customHeight="1">
      <c r="A550" s="41"/>
      <c r="B550" s="149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150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150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</row>
    <row r="551" ht="23.25" customHeight="1">
      <c r="A551" s="41"/>
      <c r="B551" s="149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150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150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</row>
    <row r="552" ht="23.25" customHeight="1">
      <c r="A552" s="41"/>
      <c r="B552" s="149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150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150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</row>
    <row r="553" ht="23.25" customHeight="1">
      <c r="A553" s="41"/>
      <c r="B553" s="149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150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150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</row>
    <row r="554" ht="23.25" customHeight="1">
      <c r="A554" s="41"/>
      <c r="B554" s="149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150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150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</row>
    <row r="555" ht="23.25" customHeight="1">
      <c r="A555" s="41"/>
      <c r="B555" s="149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150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150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</row>
    <row r="556" ht="23.25" customHeight="1">
      <c r="A556" s="41"/>
      <c r="B556" s="149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150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150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</row>
    <row r="557" ht="23.25" customHeight="1">
      <c r="A557" s="41"/>
      <c r="B557" s="149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150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150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</row>
    <row r="558" ht="23.25" customHeight="1">
      <c r="A558" s="41"/>
      <c r="B558" s="149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150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150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</row>
    <row r="559" ht="23.25" customHeight="1">
      <c r="A559" s="41"/>
      <c r="B559" s="149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150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150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</row>
    <row r="560" ht="23.25" customHeight="1">
      <c r="A560" s="41"/>
      <c r="B560" s="149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150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150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</row>
    <row r="561" ht="23.25" customHeight="1">
      <c r="A561" s="41"/>
      <c r="B561" s="149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150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150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</row>
    <row r="562" ht="23.25" customHeight="1">
      <c r="A562" s="41"/>
      <c r="B562" s="149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150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150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</row>
    <row r="563" ht="23.25" customHeight="1">
      <c r="A563" s="41"/>
      <c r="B563" s="149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150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150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</row>
    <row r="564" ht="23.25" customHeight="1">
      <c r="A564" s="41"/>
      <c r="B564" s="149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150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150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</row>
    <row r="565" ht="23.25" customHeight="1">
      <c r="A565" s="41"/>
      <c r="B565" s="149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150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150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</row>
    <row r="566" ht="23.25" customHeight="1">
      <c r="A566" s="41"/>
      <c r="B566" s="149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150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150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</row>
    <row r="567" ht="23.25" customHeight="1">
      <c r="A567" s="41"/>
      <c r="B567" s="149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150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150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</row>
    <row r="568" ht="23.25" customHeight="1">
      <c r="A568" s="41"/>
      <c r="B568" s="149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150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150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</row>
    <row r="569" ht="23.25" customHeight="1">
      <c r="A569" s="41"/>
      <c r="B569" s="149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150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150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</row>
    <row r="570" ht="23.25" customHeight="1">
      <c r="A570" s="41"/>
      <c r="B570" s="149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150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150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</row>
    <row r="571" ht="23.25" customHeight="1">
      <c r="A571" s="41"/>
      <c r="B571" s="149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150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150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</row>
    <row r="572" ht="23.25" customHeight="1">
      <c r="A572" s="41"/>
      <c r="B572" s="149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150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150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</row>
    <row r="573" ht="23.25" customHeight="1">
      <c r="A573" s="41"/>
      <c r="B573" s="149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150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150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</row>
    <row r="574" ht="23.25" customHeight="1">
      <c r="A574" s="41"/>
      <c r="B574" s="149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150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150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</row>
    <row r="575" ht="23.25" customHeight="1">
      <c r="A575" s="41"/>
      <c r="B575" s="149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150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150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</row>
    <row r="576" ht="23.25" customHeight="1">
      <c r="A576" s="41"/>
      <c r="B576" s="149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150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150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</row>
    <row r="577" ht="23.25" customHeight="1">
      <c r="A577" s="41"/>
      <c r="B577" s="149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150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150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</row>
    <row r="578" ht="23.25" customHeight="1">
      <c r="A578" s="41"/>
      <c r="B578" s="149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150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150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</row>
    <row r="579" ht="23.25" customHeight="1">
      <c r="A579" s="41"/>
      <c r="B579" s="149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150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150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</row>
    <row r="580" ht="23.25" customHeight="1">
      <c r="A580" s="41"/>
      <c r="B580" s="149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150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150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</row>
    <row r="581" ht="23.25" customHeight="1">
      <c r="A581" s="41"/>
      <c r="B581" s="149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150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150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</row>
    <row r="582" ht="23.25" customHeight="1">
      <c r="A582" s="41"/>
      <c r="B582" s="149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150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150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</row>
    <row r="583" ht="23.25" customHeight="1">
      <c r="A583" s="41"/>
      <c r="B583" s="149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150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150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</row>
    <row r="584" ht="23.25" customHeight="1">
      <c r="A584" s="41"/>
      <c r="B584" s="149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150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150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</row>
    <row r="585" ht="23.25" customHeight="1">
      <c r="A585" s="41"/>
      <c r="B585" s="149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150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150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</row>
    <row r="586" ht="23.25" customHeight="1">
      <c r="A586" s="41"/>
      <c r="B586" s="149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150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150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</row>
    <row r="587" ht="23.25" customHeight="1">
      <c r="A587" s="41"/>
      <c r="B587" s="149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150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150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</row>
    <row r="588" ht="23.25" customHeight="1">
      <c r="A588" s="41"/>
      <c r="B588" s="149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150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150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</row>
    <row r="589" ht="23.25" customHeight="1">
      <c r="A589" s="41"/>
      <c r="B589" s="149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150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150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</row>
    <row r="590" ht="23.25" customHeight="1">
      <c r="A590" s="41"/>
      <c r="B590" s="149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150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150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</row>
    <row r="591" ht="23.25" customHeight="1">
      <c r="A591" s="41"/>
      <c r="B591" s="149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150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150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</row>
    <row r="592" ht="23.25" customHeight="1">
      <c r="A592" s="41"/>
      <c r="B592" s="149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150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150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</row>
    <row r="593" ht="23.25" customHeight="1">
      <c r="A593" s="41"/>
      <c r="B593" s="149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150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150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</row>
    <row r="594" ht="23.25" customHeight="1">
      <c r="A594" s="41"/>
      <c r="B594" s="149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150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150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</row>
    <row r="595" ht="23.25" customHeight="1">
      <c r="A595" s="41"/>
      <c r="B595" s="149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150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150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</row>
    <row r="596" ht="23.25" customHeight="1">
      <c r="A596" s="41"/>
      <c r="B596" s="149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150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150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</row>
    <row r="597" ht="23.25" customHeight="1">
      <c r="A597" s="41"/>
      <c r="B597" s="149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150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150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</row>
    <row r="598" ht="23.25" customHeight="1">
      <c r="A598" s="41"/>
      <c r="B598" s="149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150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150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</row>
    <row r="599" ht="23.25" customHeight="1">
      <c r="A599" s="41"/>
      <c r="B599" s="149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150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150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</row>
    <row r="600" ht="23.25" customHeight="1">
      <c r="A600" s="41"/>
      <c r="B600" s="149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150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150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</row>
    <row r="601" ht="23.25" customHeight="1">
      <c r="A601" s="41"/>
      <c r="B601" s="149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150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150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</row>
    <row r="602" ht="23.25" customHeight="1">
      <c r="A602" s="41"/>
      <c r="B602" s="149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150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150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</row>
    <row r="603" ht="23.25" customHeight="1">
      <c r="A603" s="41"/>
      <c r="B603" s="149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150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150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</row>
    <row r="604" ht="23.25" customHeight="1">
      <c r="A604" s="41"/>
      <c r="B604" s="149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150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150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</row>
    <row r="605" ht="23.25" customHeight="1">
      <c r="A605" s="41"/>
      <c r="B605" s="149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150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150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</row>
    <row r="606" ht="23.25" customHeight="1">
      <c r="A606" s="41"/>
      <c r="B606" s="149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150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150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</row>
    <row r="607" ht="23.25" customHeight="1">
      <c r="A607" s="41"/>
      <c r="B607" s="149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150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150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</row>
    <row r="608" ht="23.25" customHeight="1">
      <c r="A608" s="41"/>
      <c r="B608" s="149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150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150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</row>
    <row r="609" ht="23.25" customHeight="1">
      <c r="A609" s="41"/>
      <c r="B609" s="149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150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150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</row>
    <row r="610" ht="23.25" customHeight="1">
      <c r="A610" s="41"/>
      <c r="B610" s="149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150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150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</row>
    <row r="611" ht="23.25" customHeight="1">
      <c r="A611" s="41"/>
      <c r="B611" s="149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150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150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</row>
    <row r="612" ht="23.25" customHeight="1">
      <c r="A612" s="41"/>
      <c r="B612" s="149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150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150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</row>
    <row r="613" ht="23.25" customHeight="1">
      <c r="A613" s="41"/>
      <c r="B613" s="149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150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150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</row>
    <row r="614" ht="23.25" customHeight="1">
      <c r="A614" s="41"/>
      <c r="B614" s="149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150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150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</row>
    <row r="615" ht="23.25" customHeight="1">
      <c r="A615" s="41"/>
      <c r="B615" s="149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150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150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</row>
    <row r="616" ht="23.25" customHeight="1">
      <c r="A616" s="41"/>
      <c r="B616" s="149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150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150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</row>
    <row r="617" ht="23.25" customHeight="1">
      <c r="A617" s="41"/>
      <c r="B617" s="149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150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150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</row>
    <row r="618" ht="23.25" customHeight="1">
      <c r="A618" s="41"/>
      <c r="B618" s="149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150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150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</row>
    <row r="619" ht="23.25" customHeight="1">
      <c r="A619" s="41"/>
      <c r="B619" s="149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150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150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</row>
    <row r="620" ht="23.25" customHeight="1">
      <c r="A620" s="41"/>
      <c r="B620" s="149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150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150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</row>
    <row r="621" ht="23.25" customHeight="1">
      <c r="A621" s="41"/>
      <c r="B621" s="149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150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150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</row>
    <row r="622" ht="23.25" customHeight="1">
      <c r="A622" s="41"/>
      <c r="B622" s="149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150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150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</row>
    <row r="623" ht="23.25" customHeight="1">
      <c r="A623" s="41"/>
      <c r="B623" s="149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150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150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</row>
    <row r="624" ht="23.25" customHeight="1">
      <c r="A624" s="41"/>
      <c r="B624" s="149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150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150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</row>
    <row r="625" ht="23.25" customHeight="1">
      <c r="A625" s="41"/>
      <c r="B625" s="149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150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150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</row>
    <row r="626" ht="23.25" customHeight="1">
      <c r="A626" s="41"/>
      <c r="B626" s="149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150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150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</row>
    <row r="627" ht="23.25" customHeight="1">
      <c r="A627" s="41"/>
      <c r="B627" s="149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150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150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</row>
    <row r="628" ht="23.25" customHeight="1">
      <c r="A628" s="41"/>
      <c r="B628" s="149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150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150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</row>
    <row r="629" ht="23.25" customHeight="1">
      <c r="A629" s="41"/>
      <c r="B629" s="149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150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150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</row>
    <row r="630" ht="23.25" customHeight="1">
      <c r="A630" s="41"/>
      <c r="B630" s="149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150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150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</row>
    <row r="631" ht="23.25" customHeight="1">
      <c r="A631" s="41"/>
      <c r="B631" s="149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150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150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</row>
    <row r="632" ht="23.25" customHeight="1">
      <c r="A632" s="41"/>
      <c r="B632" s="149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150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150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</row>
    <row r="633" ht="23.25" customHeight="1">
      <c r="A633" s="41"/>
      <c r="B633" s="149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150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150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</row>
    <row r="634" ht="23.25" customHeight="1">
      <c r="A634" s="41"/>
      <c r="B634" s="149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150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150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</row>
    <row r="635" ht="23.25" customHeight="1">
      <c r="A635" s="41"/>
      <c r="B635" s="149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150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150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</row>
    <row r="636" ht="23.25" customHeight="1">
      <c r="A636" s="41"/>
      <c r="B636" s="149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150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150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</row>
    <row r="637" ht="23.25" customHeight="1">
      <c r="A637" s="41"/>
      <c r="B637" s="149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150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150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</row>
    <row r="638" ht="23.25" customHeight="1">
      <c r="A638" s="41"/>
      <c r="B638" s="149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150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150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</row>
    <row r="639" ht="23.25" customHeight="1">
      <c r="A639" s="41"/>
      <c r="B639" s="149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150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150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</row>
    <row r="640" ht="23.25" customHeight="1">
      <c r="A640" s="41"/>
      <c r="B640" s="149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150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150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</row>
    <row r="641" ht="23.25" customHeight="1">
      <c r="A641" s="41"/>
      <c r="B641" s="149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150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150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</row>
    <row r="642" ht="23.25" customHeight="1">
      <c r="A642" s="41"/>
      <c r="B642" s="149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150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150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</row>
    <row r="643" ht="23.25" customHeight="1">
      <c r="A643" s="41"/>
      <c r="B643" s="149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150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150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</row>
    <row r="644" ht="23.25" customHeight="1">
      <c r="A644" s="41"/>
      <c r="B644" s="149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150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150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</row>
    <row r="645" ht="23.25" customHeight="1">
      <c r="A645" s="41"/>
      <c r="B645" s="149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150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150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</row>
    <row r="646" ht="23.25" customHeight="1">
      <c r="A646" s="41"/>
      <c r="B646" s="149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150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150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</row>
    <row r="647" ht="23.25" customHeight="1">
      <c r="A647" s="41"/>
      <c r="B647" s="149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150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150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</row>
    <row r="648" ht="23.25" customHeight="1">
      <c r="A648" s="41"/>
      <c r="B648" s="149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150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150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</row>
    <row r="649" ht="23.25" customHeight="1">
      <c r="A649" s="41"/>
      <c r="B649" s="149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150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150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</row>
    <row r="650" ht="23.25" customHeight="1">
      <c r="A650" s="41"/>
      <c r="B650" s="149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150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150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</row>
    <row r="651" ht="23.25" customHeight="1">
      <c r="A651" s="41"/>
      <c r="B651" s="149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150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150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</row>
    <row r="652" ht="23.25" customHeight="1">
      <c r="A652" s="41"/>
      <c r="B652" s="149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150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150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</row>
    <row r="653" ht="23.25" customHeight="1">
      <c r="A653" s="41"/>
      <c r="B653" s="149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150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150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</row>
    <row r="654" ht="23.25" customHeight="1">
      <c r="A654" s="41"/>
      <c r="B654" s="149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150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150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</row>
    <row r="655" ht="23.25" customHeight="1">
      <c r="A655" s="41"/>
      <c r="B655" s="149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150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150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</row>
    <row r="656" ht="23.25" customHeight="1">
      <c r="A656" s="41"/>
      <c r="B656" s="149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150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150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</row>
    <row r="657" ht="23.25" customHeight="1">
      <c r="A657" s="41"/>
      <c r="B657" s="149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150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150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</row>
    <row r="658" ht="23.25" customHeight="1">
      <c r="A658" s="41"/>
      <c r="B658" s="149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150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150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</row>
    <row r="659" ht="23.25" customHeight="1">
      <c r="A659" s="41"/>
      <c r="B659" s="149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150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150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</row>
    <row r="660" ht="23.25" customHeight="1">
      <c r="A660" s="41"/>
      <c r="B660" s="149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150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150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</row>
    <row r="661" ht="23.25" customHeight="1">
      <c r="A661" s="41"/>
      <c r="B661" s="149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150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150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</row>
    <row r="662" ht="23.25" customHeight="1">
      <c r="A662" s="41"/>
      <c r="B662" s="149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150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150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</row>
    <row r="663" ht="23.25" customHeight="1">
      <c r="A663" s="41"/>
      <c r="B663" s="149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150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150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</row>
    <row r="664" ht="23.25" customHeight="1">
      <c r="A664" s="41"/>
      <c r="B664" s="149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150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150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</row>
    <row r="665" ht="23.25" customHeight="1">
      <c r="A665" s="41"/>
      <c r="B665" s="149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150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150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</row>
    <row r="666" ht="23.25" customHeight="1">
      <c r="A666" s="41"/>
      <c r="B666" s="149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150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150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</row>
    <row r="667" ht="23.25" customHeight="1">
      <c r="A667" s="41"/>
      <c r="B667" s="149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150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150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</row>
    <row r="668" ht="23.25" customHeight="1">
      <c r="A668" s="41"/>
      <c r="B668" s="149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150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150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</row>
    <row r="669" ht="23.25" customHeight="1">
      <c r="A669" s="41"/>
      <c r="B669" s="149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150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150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</row>
    <row r="670" ht="23.25" customHeight="1">
      <c r="A670" s="41"/>
      <c r="B670" s="149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150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150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</row>
    <row r="671" ht="23.25" customHeight="1">
      <c r="A671" s="41"/>
      <c r="B671" s="149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150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150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</row>
    <row r="672" ht="23.25" customHeight="1">
      <c r="A672" s="41"/>
      <c r="B672" s="149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150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150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</row>
    <row r="673" ht="23.25" customHeight="1">
      <c r="A673" s="41"/>
      <c r="B673" s="149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150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150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</row>
    <row r="674" ht="23.25" customHeight="1">
      <c r="A674" s="41"/>
      <c r="B674" s="149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150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150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</row>
    <row r="675" ht="23.25" customHeight="1">
      <c r="A675" s="41"/>
      <c r="B675" s="149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150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150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</row>
    <row r="676" ht="23.25" customHeight="1">
      <c r="A676" s="41"/>
      <c r="B676" s="149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150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150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</row>
    <row r="677" ht="23.25" customHeight="1">
      <c r="A677" s="41"/>
      <c r="B677" s="149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150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150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</row>
    <row r="678" ht="23.25" customHeight="1">
      <c r="A678" s="41"/>
      <c r="B678" s="149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150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150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</row>
    <row r="679" ht="23.25" customHeight="1">
      <c r="A679" s="41"/>
      <c r="B679" s="149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150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150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</row>
    <row r="680" ht="23.25" customHeight="1">
      <c r="A680" s="41"/>
      <c r="B680" s="149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150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150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</row>
    <row r="681" ht="23.25" customHeight="1">
      <c r="A681" s="41"/>
      <c r="B681" s="149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150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150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</row>
    <row r="682" ht="23.25" customHeight="1">
      <c r="A682" s="41"/>
      <c r="B682" s="149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150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150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</row>
    <row r="683" ht="23.25" customHeight="1">
      <c r="A683" s="41"/>
      <c r="B683" s="149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150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150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</row>
    <row r="684" ht="23.25" customHeight="1">
      <c r="A684" s="41"/>
      <c r="B684" s="149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150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150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</row>
    <row r="685" ht="23.25" customHeight="1">
      <c r="A685" s="41"/>
      <c r="B685" s="149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150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150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</row>
    <row r="686" ht="23.25" customHeight="1">
      <c r="A686" s="41"/>
      <c r="B686" s="149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150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150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</row>
    <row r="687" ht="23.25" customHeight="1">
      <c r="A687" s="41"/>
      <c r="B687" s="149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150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150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</row>
    <row r="688" ht="23.25" customHeight="1">
      <c r="A688" s="41"/>
      <c r="B688" s="149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150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150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</row>
    <row r="689" ht="23.25" customHeight="1">
      <c r="A689" s="41"/>
      <c r="B689" s="149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150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150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</row>
    <row r="690" ht="23.25" customHeight="1">
      <c r="A690" s="41"/>
      <c r="B690" s="149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150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150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</row>
    <row r="691" ht="23.25" customHeight="1">
      <c r="A691" s="41"/>
      <c r="B691" s="149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150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150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</row>
    <row r="692" ht="23.25" customHeight="1">
      <c r="A692" s="41"/>
      <c r="B692" s="149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150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150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</row>
    <row r="693" ht="23.25" customHeight="1">
      <c r="A693" s="41"/>
      <c r="B693" s="149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150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150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</row>
    <row r="694" ht="23.25" customHeight="1">
      <c r="A694" s="41"/>
      <c r="B694" s="149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150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150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</row>
    <row r="695" ht="23.25" customHeight="1">
      <c r="A695" s="41"/>
      <c r="B695" s="149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150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150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</row>
    <row r="696" ht="23.25" customHeight="1">
      <c r="A696" s="41"/>
      <c r="B696" s="149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150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150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</row>
    <row r="697" ht="23.25" customHeight="1">
      <c r="A697" s="41"/>
      <c r="B697" s="149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150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150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</row>
    <row r="698" ht="23.25" customHeight="1">
      <c r="A698" s="41"/>
      <c r="B698" s="149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150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150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</row>
    <row r="699" ht="23.25" customHeight="1">
      <c r="A699" s="41"/>
      <c r="B699" s="149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150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150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</row>
    <row r="700" ht="23.25" customHeight="1">
      <c r="A700" s="41"/>
      <c r="B700" s="149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150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150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</row>
    <row r="701" ht="23.25" customHeight="1">
      <c r="A701" s="41"/>
      <c r="B701" s="149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150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150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</row>
    <row r="702" ht="23.25" customHeight="1">
      <c r="A702" s="41"/>
      <c r="B702" s="149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150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150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</row>
    <row r="703" ht="23.25" customHeight="1">
      <c r="A703" s="41"/>
      <c r="B703" s="149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150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150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</row>
    <row r="704" ht="23.25" customHeight="1">
      <c r="A704" s="41"/>
      <c r="B704" s="149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150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150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</row>
    <row r="705" ht="23.25" customHeight="1">
      <c r="A705" s="41"/>
      <c r="B705" s="149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150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150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</row>
    <row r="706" ht="23.25" customHeight="1">
      <c r="A706" s="41"/>
      <c r="B706" s="149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150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150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</row>
    <row r="707" ht="23.25" customHeight="1">
      <c r="A707" s="41"/>
      <c r="B707" s="149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150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150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</row>
    <row r="708" ht="23.25" customHeight="1">
      <c r="A708" s="41"/>
      <c r="B708" s="149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150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150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</row>
    <row r="709" ht="23.25" customHeight="1">
      <c r="A709" s="41"/>
      <c r="B709" s="149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150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150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</row>
    <row r="710" ht="23.25" customHeight="1">
      <c r="A710" s="41"/>
      <c r="B710" s="149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150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150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</row>
    <row r="711" ht="23.25" customHeight="1">
      <c r="A711" s="41"/>
      <c r="B711" s="149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150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150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</row>
    <row r="712" ht="23.25" customHeight="1">
      <c r="A712" s="41"/>
      <c r="B712" s="149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150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150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</row>
    <row r="713" ht="23.25" customHeight="1">
      <c r="A713" s="41"/>
      <c r="B713" s="149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150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150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</row>
    <row r="714" ht="23.25" customHeight="1">
      <c r="A714" s="41"/>
      <c r="B714" s="149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150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150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</row>
    <row r="715" ht="23.25" customHeight="1">
      <c r="A715" s="41"/>
      <c r="B715" s="149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150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150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</row>
    <row r="716" ht="23.25" customHeight="1">
      <c r="A716" s="41"/>
      <c r="B716" s="149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150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150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</row>
    <row r="717" ht="23.25" customHeight="1">
      <c r="A717" s="41"/>
      <c r="B717" s="149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150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150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</row>
    <row r="718" ht="23.25" customHeight="1">
      <c r="A718" s="41"/>
      <c r="B718" s="149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150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150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</row>
    <row r="719" ht="23.25" customHeight="1">
      <c r="A719" s="41"/>
      <c r="B719" s="149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150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150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</row>
    <row r="720" ht="23.25" customHeight="1">
      <c r="A720" s="41"/>
      <c r="B720" s="149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150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150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</row>
    <row r="721" ht="23.25" customHeight="1">
      <c r="A721" s="41"/>
      <c r="B721" s="149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150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150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</row>
    <row r="722" ht="23.25" customHeight="1">
      <c r="A722" s="41"/>
      <c r="B722" s="149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150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150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</row>
    <row r="723" ht="23.25" customHeight="1">
      <c r="A723" s="41"/>
      <c r="B723" s="149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150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150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</row>
    <row r="724" ht="23.25" customHeight="1">
      <c r="A724" s="41"/>
      <c r="B724" s="149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150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150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</row>
    <row r="725" ht="23.25" customHeight="1">
      <c r="A725" s="41"/>
      <c r="B725" s="149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150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150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</row>
    <row r="726" ht="23.25" customHeight="1">
      <c r="A726" s="41"/>
      <c r="B726" s="149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150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150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</row>
    <row r="727" ht="23.25" customHeight="1">
      <c r="A727" s="41"/>
      <c r="B727" s="149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150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150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</row>
    <row r="728" ht="23.25" customHeight="1">
      <c r="A728" s="41"/>
      <c r="B728" s="149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150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150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</row>
    <row r="729" ht="23.25" customHeight="1">
      <c r="A729" s="41"/>
      <c r="B729" s="149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150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150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</row>
    <row r="730" ht="23.25" customHeight="1">
      <c r="A730" s="41"/>
      <c r="B730" s="149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150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150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</row>
    <row r="731" ht="23.25" customHeight="1">
      <c r="A731" s="41"/>
      <c r="B731" s="149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150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150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</row>
    <row r="732" ht="23.25" customHeight="1">
      <c r="A732" s="41"/>
      <c r="B732" s="149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150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150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</row>
    <row r="733" ht="23.25" customHeight="1">
      <c r="A733" s="41"/>
      <c r="B733" s="149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150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150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</row>
    <row r="734" ht="23.25" customHeight="1">
      <c r="A734" s="41"/>
      <c r="B734" s="149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150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150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</row>
    <row r="735" ht="23.25" customHeight="1">
      <c r="A735" s="41"/>
      <c r="B735" s="149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150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150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</row>
    <row r="736" ht="23.25" customHeight="1">
      <c r="A736" s="41"/>
      <c r="B736" s="149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150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150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</row>
    <row r="737" ht="23.25" customHeight="1">
      <c r="A737" s="41"/>
      <c r="B737" s="149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150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150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</row>
    <row r="738" ht="23.25" customHeight="1">
      <c r="A738" s="41"/>
      <c r="B738" s="149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150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150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</row>
    <row r="739" ht="23.25" customHeight="1">
      <c r="A739" s="41"/>
      <c r="B739" s="149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150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150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</row>
    <row r="740" ht="23.25" customHeight="1">
      <c r="A740" s="41"/>
      <c r="B740" s="149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150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150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</row>
    <row r="741" ht="23.25" customHeight="1">
      <c r="A741" s="41"/>
      <c r="B741" s="149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150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150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</row>
    <row r="742" ht="23.25" customHeight="1">
      <c r="A742" s="41"/>
      <c r="B742" s="149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150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150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</row>
    <row r="743" ht="23.25" customHeight="1">
      <c r="A743" s="41"/>
      <c r="B743" s="149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150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150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</row>
    <row r="744" ht="23.25" customHeight="1">
      <c r="A744" s="41"/>
      <c r="B744" s="149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150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150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</row>
    <row r="745" ht="23.25" customHeight="1">
      <c r="A745" s="41"/>
      <c r="B745" s="149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150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150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</row>
    <row r="746" ht="23.25" customHeight="1">
      <c r="A746" s="41"/>
      <c r="B746" s="149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150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150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</row>
    <row r="747" ht="23.25" customHeight="1">
      <c r="A747" s="41"/>
      <c r="B747" s="149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150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150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</row>
    <row r="748" ht="23.25" customHeight="1">
      <c r="A748" s="41"/>
      <c r="B748" s="149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150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150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</row>
    <row r="749" ht="23.25" customHeight="1">
      <c r="A749" s="41"/>
      <c r="B749" s="149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150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150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</row>
    <row r="750" ht="23.25" customHeight="1">
      <c r="A750" s="41"/>
      <c r="B750" s="149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150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150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</row>
    <row r="751" ht="23.25" customHeight="1">
      <c r="A751" s="41"/>
      <c r="B751" s="149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150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150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</row>
    <row r="752" ht="23.25" customHeight="1">
      <c r="A752" s="41"/>
      <c r="B752" s="149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150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150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</row>
    <row r="753" ht="23.25" customHeight="1">
      <c r="A753" s="41"/>
      <c r="B753" s="149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150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150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</row>
    <row r="754" ht="23.25" customHeight="1">
      <c r="A754" s="41"/>
      <c r="B754" s="149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150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150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</row>
    <row r="755" ht="23.25" customHeight="1">
      <c r="A755" s="41"/>
      <c r="B755" s="149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150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150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</row>
    <row r="756" ht="23.25" customHeight="1">
      <c r="A756" s="41"/>
      <c r="B756" s="149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150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150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</row>
    <row r="757" ht="23.25" customHeight="1">
      <c r="A757" s="41"/>
      <c r="B757" s="149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150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150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</row>
    <row r="758" ht="23.25" customHeight="1">
      <c r="A758" s="41"/>
      <c r="B758" s="149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150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150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</row>
    <row r="759" ht="23.25" customHeight="1">
      <c r="A759" s="41"/>
      <c r="B759" s="149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150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150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</row>
    <row r="760" ht="23.25" customHeight="1">
      <c r="A760" s="41"/>
      <c r="B760" s="149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150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150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</row>
    <row r="761" ht="23.25" customHeight="1">
      <c r="A761" s="41"/>
      <c r="B761" s="149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150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150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</row>
    <row r="762" ht="23.25" customHeight="1">
      <c r="A762" s="41"/>
      <c r="B762" s="149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150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150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</row>
    <row r="763" ht="23.25" customHeight="1">
      <c r="A763" s="41"/>
      <c r="B763" s="149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150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150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</row>
    <row r="764" ht="23.25" customHeight="1">
      <c r="A764" s="41"/>
      <c r="B764" s="149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150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150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</row>
    <row r="765" ht="23.25" customHeight="1">
      <c r="A765" s="41"/>
      <c r="B765" s="149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150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150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</row>
    <row r="766" ht="23.25" customHeight="1">
      <c r="A766" s="41"/>
      <c r="B766" s="149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150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150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</row>
    <row r="767" ht="23.25" customHeight="1">
      <c r="A767" s="41"/>
      <c r="B767" s="149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150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150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</row>
    <row r="768" ht="23.25" customHeight="1">
      <c r="A768" s="41"/>
      <c r="B768" s="149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150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150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</row>
    <row r="769" ht="23.25" customHeight="1">
      <c r="A769" s="41"/>
      <c r="B769" s="149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150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150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</row>
    <row r="770" ht="23.25" customHeight="1">
      <c r="A770" s="41"/>
      <c r="B770" s="149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150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150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</row>
    <row r="771" ht="23.25" customHeight="1">
      <c r="A771" s="41"/>
      <c r="B771" s="149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150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150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</row>
    <row r="772" ht="23.25" customHeight="1">
      <c r="A772" s="41"/>
      <c r="B772" s="149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150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150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</row>
    <row r="773" ht="23.25" customHeight="1">
      <c r="A773" s="41"/>
      <c r="B773" s="149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150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150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</row>
    <row r="774" ht="23.25" customHeight="1">
      <c r="A774" s="41"/>
      <c r="B774" s="149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150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150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</row>
    <row r="775" ht="23.25" customHeight="1">
      <c r="A775" s="41"/>
      <c r="B775" s="149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150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150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</row>
    <row r="776" ht="23.25" customHeight="1">
      <c r="A776" s="41"/>
      <c r="B776" s="149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150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150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</row>
    <row r="777" ht="23.25" customHeight="1">
      <c r="A777" s="41"/>
      <c r="B777" s="149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150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150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</row>
    <row r="778" ht="23.25" customHeight="1">
      <c r="A778" s="41"/>
      <c r="B778" s="149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150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150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</row>
    <row r="779" ht="23.25" customHeight="1">
      <c r="A779" s="41"/>
      <c r="B779" s="149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150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150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</row>
    <row r="780" ht="23.25" customHeight="1">
      <c r="A780" s="41"/>
      <c r="B780" s="149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150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150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</row>
    <row r="781" ht="23.25" customHeight="1">
      <c r="A781" s="41"/>
      <c r="B781" s="149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150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150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</row>
    <row r="782" ht="23.25" customHeight="1">
      <c r="A782" s="41"/>
      <c r="B782" s="149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150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150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</row>
    <row r="783" ht="23.25" customHeight="1">
      <c r="A783" s="41"/>
      <c r="B783" s="149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150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150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</row>
    <row r="784" ht="23.25" customHeight="1">
      <c r="A784" s="41"/>
      <c r="B784" s="149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150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150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</row>
    <row r="785" ht="23.25" customHeight="1">
      <c r="A785" s="41"/>
      <c r="B785" s="149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150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150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</row>
    <row r="786" ht="23.25" customHeight="1">
      <c r="A786" s="41"/>
      <c r="B786" s="149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150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150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</row>
    <row r="787" ht="23.25" customHeight="1">
      <c r="A787" s="41"/>
      <c r="B787" s="149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150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150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</row>
    <row r="788" ht="23.25" customHeight="1">
      <c r="A788" s="41"/>
      <c r="B788" s="149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150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150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</row>
    <row r="789" ht="23.25" customHeight="1">
      <c r="A789" s="41"/>
      <c r="B789" s="149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150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150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</row>
    <row r="790" ht="23.25" customHeight="1">
      <c r="A790" s="41"/>
      <c r="B790" s="149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150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150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</row>
    <row r="791" ht="23.25" customHeight="1">
      <c r="A791" s="41"/>
      <c r="B791" s="149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150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150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</row>
    <row r="792" ht="23.25" customHeight="1">
      <c r="A792" s="41"/>
      <c r="B792" s="149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150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150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</row>
    <row r="793" ht="23.25" customHeight="1">
      <c r="A793" s="41"/>
      <c r="B793" s="149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150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150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</row>
    <row r="794" ht="23.25" customHeight="1">
      <c r="A794" s="41"/>
      <c r="B794" s="149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150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150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</row>
    <row r="795" ht="23.25" customHeight="1">
      <c r="A795" s="41"/>
      <c r="B795" s="149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150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150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</row>
    <row r="796" ht="23.25" customHeight="1">
      <c r="A796" s="41"/>
      <c r="B796" s="149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150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150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</row>
    <row r="797" ht="23.25" customHeight="1">
      <c r="A797" s="41"/>
      <c r="B797" s="149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150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150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</row>
    <row r="798" ht="23.25" customHeight="1">
      <c r="A798" s="41"/>
      <c r="B798" s="149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150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150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</row>
    <row r="799" ht="23.25" customHeight="1">
      <c r="A799" s="41"/>
      <c r="B799" s="149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150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150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</row>
    <row r="800" ht="23.25" customHeight="1">
      <c r="A800" s="41"/>
      <c r="B800" s="149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150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150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</row>
    <row r="801" ht="23.25" customHeight="1">
      <c r="A801" s="41"/>
      <c r="B801" s="149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150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150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</row>
    <row r="802" ht="23.25" customHeight="1">
      <c r="A802" s="41"/>
      <c r="B802" s="149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150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150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</row>
    <row r="803" ht="23.25" customHeight="1">
      <c r="A803" s="41"/>
      <c r="B803" s="149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150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150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</row>
    <row r="804" ht="23.25" customHeight="1">
      <c r="A804" s="41"/>
      <c r="B804" s="149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150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150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</row>
    <row r="805" ht="23.25" customHeight="1">
      <c r="A805" s="41"/>
      <c r="B805" s="149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150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150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</row>
    <row r="806" ht="23.25" customHeight="1">
      <c r="A806" s="41"/>
      <c r="B806" s="149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150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150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</row>
    <row r="807" ht="23.25" customHeight="1">
      <c r="A807" s="41"/>
      <c r="B807" s="149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150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150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</row>
    <row r="808" ht="23.25" customHeight="1">
      <c r="A808" s="41"/>
      <c r="B808" s="149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150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150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</row>
    <row r="809" ht="23.25" customHeight="1">
      <c r="A809" s="41"/>
      <c r="B809" s="149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150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150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</row>
    <row r="810" ht="23.25" customHeight="1">
      <c r="A810" s="41"/>
      <c r="B810" s="149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150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150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</row>
    <row r="811" ht="23.25" customHeight="1">
      <c r="A811" s="41"/>
      <c r="B811" s="149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150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150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</row>
    <row r="812" ht="23.25" customHeight="1">
      <c r="A812" s="41"/>
      <c r="B812" s="149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150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150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</row>
    <row r="813" ht="23.25" customHeight="1">
      <c r="A813" s="41"/>
      <c r="B813" s="149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150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150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</row>
    <row r="814" ht="23.25" customHeight="1">
      <c r="A814" s="41"/>
      <c r="B814" s="149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150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150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</row>
    <row r="815" ht="23.25" customHeight="1">
      <c r="A815" s="41"/>
      <c r="B815" s="149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150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150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</row>
    <row r="816" ht="23.25" customHeight="1">
      <c r="A816" s="41"/>
      <c r="B816" s="149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150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150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</row>
    <row r="817" ht="23.25" customHeight="1">
      <c r="A817" s="41"/>
      <c r="B817" s="149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150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150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</row>
    <row r="818" ht="23.25" customHeight="1">
      <c r="A818" s="41"/>
      <c r="B818" s="149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150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150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</row>
    <row r="819" ht="23.25" customHeight="1">
      <c r="A819" s="41"/>
      <c r="B819" s="149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150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150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</row>
    <row r="820" ht="23.25" customHeight="1">
      <c r="A820" s="41"/>
      <c r="B820" s="149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150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150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</row>
    <row r="821" ht="23.25" customHeight="1">
      <c r="A821" s="41"/>
      <c r="B821" s="149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150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150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</row>
    <row r="822" ht="23.25" customHeight="1">
      <c r="A822" s="41"/>
      <c r="B822" s="149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150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150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</row>
    <row r="823" ht="23.25" customHeight="1">
      <c r="A823" s="41"/>
      <c r="B823" s="149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150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150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</row>
    <row r="824" ht="23.25" customHeight="1">
      <c r="A824" s="41"/>
      <c r="B824" s="149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150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150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</row>
    <row r="825" ht="23.25" customHeight="1">
      <c r="A825" s="41"/>
      <c r="B825" s="149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150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150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</row>
    <row r="826" ht="23.25" customHeight="1">
      <c r="A826" s="41"/>
      <c r="B826" s="149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150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150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</row>
    <row r="827" ht="23.25" customHeight="1">
      <c r="A827" s="41"/>
      <c r="B827" s="149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150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150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</row>
    <row r="828" ht="23.25" customHeight="1">
      <c r="A828" s="41"/>
      <c r="B828" s="149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150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150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</row>
    <row r="829" ht="23.25" customHeight="1">
      <c r="A829" s="41"/>
      <c r="B829" s="149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150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150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</row>
    <row r="830" ht="23.25" customHeight="1">
      <c r="A830" s="41"/>
      <c r="B830" s="149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150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150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</row>
    <row r="831" ht="23.25" customHeight="1">
      <c r="A831" s="41"/>
      <c r="B831" s="149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150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150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</row>
    <row r="832" ht="23.25" customHeight="1">
      <c r="A832" s="41"/>
      <c r="B832" s="149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150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150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</row>
    <row r="833" ht="23.25" customHeight="1">
      <c r="A833" s="41"/>
      <c r="B833" s="149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150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150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</row>
    <row r="834" ht="23.25" customHeight="1">
      <c r="A834" s="41"/>
      <c r="B834" s="149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150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150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</row>
    <row r="835" ht="23.25" customHeight="1">
      <c r="A835" s="41"/>
      <c r="B835" s="149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150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150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</row>
    <row r="836" ht="23.25" customHeight="1">
      <c r="A836" s="41"/>
      <c r="B836" s="149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150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150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</row>
    <row r="837" ht="23.25" customHeight="1">
      <c r="A837" s="41"/>
      <c r="B837" s="149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150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150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</row>
    <row r="838" ht="23.25" customHeight="1">
      <c r="A838" s="41"/>
      <c r="B838" s="149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150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150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</row>
    <row r="839" ht="23.25" customHeight="1">
      <c r="A839" s="41"/>
      <c r="B839" s="149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150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150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</row>
    <row r="840" ht="23.25" customHeight="1">
      <c r="A840" s="41"/>
      <c r="B840" s="149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150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150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</row>
    <row r="841" ht="23.25" customHeight="1">
      <c r="A841" s="41"/>
      <c r="B841" s="149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150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150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</row>
    <row r="842" ht="23.25" customHeight="1">
      <c r="A842" s="41"/>
      <c r="B842" s="149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150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150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</row>
    <row r="843" ht="23.25" customHeight="1">
      <c r="A843" s="41"/>
      <c r="B843" s="149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150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150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</row>
    <row r="844" ht="23.25" customHeight="1">
      <c r="A844" s="41"/>
      <c r="B844" s="149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150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150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</row>
    <row r="845" ht="23.25" customHeight="1">
      <c r="A845" s="41"/>
      <c r="B845" s="149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150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150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</row>
    <row r="846" ht="23.25" customHeight="1">
      <c r="A846" s="41"/>
      <c r="B846" s="149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150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150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</row>
    <row r="847" ht="23.25" customHeight="1">
      <c r="A847" s="41"/>
      <c r="B847" s="149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150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150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</row>
    <row r="848" ht="23.25" customHeight="1">
      <c r="A848" s="41"/>
      <c r="B848" s="149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150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150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</row>
    <row r="849" ht="23.25" customHeight="1">
      <c r="A849" s="41"/>
      <c r="B849" s="149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150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150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</row>
    <row r="850" ht="23.25" customHeight="1">
      <c r="A850" s="41"/>
      <c r="B850" s="149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150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150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</row>
    <row r="851" ht="23.25" customHeight="1">
      <c r="A851" s="41"/>
      <c r="B851" s="149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150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150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</row>
    <row r="852" ht="23.25" customHeight="1">
      <c r="A852" s="41"/>
      <c r="B852" s="149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150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150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</row>
    <row r="853" ht="23.25" customHeight="1">
      <c r="A853" s="41"/>
      <c r="B853" s="149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150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150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</row>
    <row r="854" ht="23.25" customHeight="1">
      <c r="A854" s="41"/>
      <c r="B854" s="149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150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150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</row>
    <row r="855" ht="23.25" customHeight="1">
      <c r="A855" s="41"/>
      <c r="B855" s="149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150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150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</row>
    <row r="856" ht="23.25" customHeight="1">
      <c r="A856" s="41"/>
      <c r="B856" s="149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150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150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</row>
    <row r="857" ht="23.25" customHeight="1">
      <c r="A857" s="41"/>
      <c r="B857" s="149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150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150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</row>
    <row r="858" ht="23.25" customHeight="1">
      <c r="A858" s="41"/>
      <c r="B858" s="149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150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150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</row>
    <row r="859" ht="23.25" customHeight="1">
      <c r="A859" s="41"/>
      <c r="B859" s="149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150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150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</row>
    <row r="860" ht="23.25" customHeight="1">
      <c r="A860" s="41"/>
      <c r="B860" s="149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150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150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</row>
    <row r="861" ht="23.25" customHeight="1">
      <c r="A861" s="41"/>
      <c r="B861" s="149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150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150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</row>
    <row r="862" ht="23.25" customHeight="1">
      <c r="A862" s="41"/>
      <c r="B862" s="149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150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150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</row>
    <row r="863" ht="23.25" customHeight="1">
      <c r="A863" s="41"/>
      <c r="B863" s="149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150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150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</row>
    <row r="864" ht="23.25" customHeight="1">
      <c r="A864" s="41"/>
      <c r="B864" s="149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150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150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</row>
    <row r="865" ht="23.25" customHeight="1">
      <c r="A865" s="41"/>
      <c r="B865" s="149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150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150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</row>
    <row r="866" ht="23.25" customHeight="1">
      <c r="A866" s="41"/>
      <c r="B866" s="149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150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150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</row>
    <row r="867" ht="23.25" customHeight="1">
      <c r="A867" s="41"/>
      <c r="B867" s="149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150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150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</row>
    <row r="868" ht="23.25" customHeight="1">
      <c r="A868" s="41"/>
      <c r="B868" s="149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150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150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</row>
    <row r="869" ht="23.25" customHeight="1">
      <c r="A869" s="41"/>
      <c r="B869" s="149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150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150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</row>
    <row r="870" ht="23.25" customHeight="1">
      <c r="A870" s="41"/>
      <c r="B870" s="149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150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150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</row>
    <row r="871" ht="23.25" customHeight="1">
      <c r="A871" s="41"/>
      <c r="B871" s="149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150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150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</row>
    <row r="872" ht="23.25" customHeight="1">
      <c r="A872" s="41"/>
      <c r="B872" s="149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150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150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</row>
    <row r="873" ht="23.25" customHeight="1">
      <c r="A873" s="41"/>
      <c r="B873" s="149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150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150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</row>
    <row r="874" ht="23.25" customHeight="1">
      <c r="A874" s="41"/>
      <c r="B874" s="149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150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150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</row>
    <row r="875" ht="23.25" customHeight="1">
      <c r="A875" s="41"/>
      <c r="B875" s="149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150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150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</row>
    <row r="876" ht="23.25" customHeight="1">
      <c r="A876" s="41"/>
      <c r="B876" s="149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150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150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</row>
    <row r="877" ht="23.25" customHeight="1">
      <c r="A877" s="41"/>
      <c r="B877" s="149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150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150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</row>
    <row r="878" ht="23.25" customHeight="1">
      <c r="A878" s="41"/>
      <c r="B878" s="149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150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150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</row>
    <row r="879" ht="23.25" customHeight="1">
      <c r="A879" s="41"/>
      <c r="B879" s="149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150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150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</row>
    <row r="880" ht="23.25" customHeight="1">
      <c r="A880" s="41"/>
      <c r="B880" s="149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150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150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</row>
    <row r="881" ht="23.25" customHeight="1">
      <c r="A881" s="41"/>
      <c r="B881" s="149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150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150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</row>
    <row r="882" ht="23.25" customHeight="1">
      <c r="A882" s="41"/>
      <c r="B882" s="149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150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150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</row>
    <row r="883" ht="23.25" customHeight="1">
      <c r="A883" s="41"/>
      <c r="B883" s="149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150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150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</row>
    <row r="884" ht="23.25" customHeight="1">
      <c r="A884" s="41"/>
      <c r="B884" s="149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150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150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</row>
    <row r="885" ht="23.25" customHeight="1">
      <c r="A885" s="41"/>
      <c r="B885" s="149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150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150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</row>
    <row r="886" ht="23.25" customHeight="1">
      <c r="A886" s="41"/>
      <c r="B886" s="149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150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150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</row>
    <row r="887" ht="23.25" customHeight="1">
      <c r="A887" s="41"/>
      <c r="B887" s="149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150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150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</row>
    <row r="888" ht="23.25" customHeight="1">
      <c r="A888" s="41"/>
      <c r="B888" s="149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150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150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</row>
    <row r="889" ht="23.25" customHeight="1">
      <c r="A889" s="41"/>
      <c r="B889" s="149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150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150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</row>
    <row r="890" ht="23.25" customHeight="1">
      <c r="A890" s="41"/>
      <c r="B890" s="149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150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150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</row>
    <row r="891" ht="23.25" customHeight="1">
      <c r="A891" s="41"/>
      <c r="B891" s="149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150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150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</row>
    <row r="892" ht="23.25" customHeight="1">
      <c r="A892" s="41"/>
      <c r="B892" s="149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150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150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</row>
    <row r="893" ht="23.25" customHeight="1">
      <c r="A893" s="41"/>
      <c r="B893" s="149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150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150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</row>
    <row r="894" ht="23.25" customHeight="1">
      <c r="A894" s="41"/>
      <c r="B894" s="149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150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150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</row>
    <row r="895" ht="23.25" customHeight="1">
      <c r="A895" s="41"/>
      <c r="B895" s="149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150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150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</row>
    <row r="896" ht="23.25" customHeight="1">
      <c r="A896" s="41"/>
      <c r="B896" s="149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150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150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</row>
    <row r="897" ht="23.25" customHeight="1">
      <c r="A897" s="41"/>
      <c r="B897" s="149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150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150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</row>
    <row r="898" ht="23.25" customHeight="1">
      <c r="A898" s="41"/>
      <c r="B898" s="149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150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150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</row>
    <row r="899" ht="23.25" customHeight="1">
      <c r="A899" s="41"/>
      <c r="B899" s="149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150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150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</row>
    <row r="900" ht="23.25" customHeight="1">
      <c r="A900" s="41"/>
      <c r="B900" s="149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150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150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</row>
    <row r="901" ht="23.25" customHeight="1">
      <c r="A901" s="41"/>
      <c r="B901" s="149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150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150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</row>
    <row r="902" ht="23.25" customHeight="1">
      <c r="A902" s="41"/>
      <c r="B902" s="149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150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150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</row>
    <row r="903" ht="23.25" customHeight="1">
      <c r="A903" s="41"/>
      <c r="B903" s="149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150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150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</row>
    <row r="904" ht="23.25" customHeight="1">
      <c r="A904" s="41"/>
      <c r="B904" s="149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150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150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</row>
    <row r="905" ht="23.25" customHeight="1">
      <c r="A905" s="41"/>
      <c r="B905" s="149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150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150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</row>
    <row r="906" ht="23.25" customHeight="1">
      <c r="A906" s="41"/>
      <c r="B906" s="149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150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150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</row>
    <row r="907" ht="23.25" customHeight="1">
      <c r="A907" s="41"/>
      <c r="B907" s="149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150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150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</row>
    <row r="908" ht="23.25" customHeight="1">
      <c r="A908" s="41"/>
      <c r="B908" s="149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150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150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</row>
    <row r="909" ht="23.25" customHeight="1">
      <c r="A909" s="41"/>
      <c r="B909" s="149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150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150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</row>
    <row r="910" ht="23.25" customHeight="1">
      <c r="A910" s="41"/>
      <c r="B910" s="149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150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150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</row>
    <row r="911" ht="23.25" customHeight="1">
      <c r="A911" s="41"/>
      <c r="B911" s="149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150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150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</row>
    <row r="912" ht="23.25" customHeight="1">
      <c r="A912" s="41"/>
      <c r="B912" s="149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150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150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</row>
    <row r="913" ht="23.25" customHeight="1">
      <c r="A913" s="41"/>
      <c r="B913" s="149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150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150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</row>
    <row r="914" ht="23.25" customHeight="1">
      <c r="A914" s="41"/>
      <c r="B914" s="149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150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150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</row>
    <row r="915" ht="23.25" customHeight="1">
      <c r="A915" s="41"/>
      <c r="B915" s="149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150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150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</row>
    <row r="916" ht="23.25" customHeight="1">
      <c r="A916" s="41"/>
      <c r="B916" s="149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150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150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</row>
    <row r="917" ht="23.25" customHeight="1">
      <c r="A917" s="41"/>
      <c r="B917" s="149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150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150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</row>
    <row r="918" ht="23.25" customHeight="1">
      <c r="A918" s="41"/>
      <c r="B918" s="149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150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150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</row>
    <row r="919" ht="23.25" customHeight="1">
      <c r="A919" s="41"/>
      <c r="B919" s="149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150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150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</row>
    <row r="920" ht="23.25" customHeight="1">
      <c r="A920" s="41"/>
      <c r="B920" s="149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150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150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</row>
    <row r="921" ht="23.25" customHeight="1">
      <c r="A921" s="41"/>
      <c r="B921" s="149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150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150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</row>
    <row r="922" ht="23.25" customHeight="1">
      <c r="A922" s="41"/>
      <c r="B922" s="149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150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150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</row>
    <row r="923" ht="23.25" customHeight="1">
      <c r="A923" s="41"/>
      <c r="B923" s="149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150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150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</row>
    <row r="924" ht="23.25" customHeight="1">
      <c r="A924" s="41"/>
      <c r="B924" s="149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150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150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</row>
    <row r="925" ht="23.25" customHeight="1">
      <c r="A925" s="41"/>
      <c r="B925" s="149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150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150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</row>
    <row r="926" ht="23.25" customHeight="1">
      <c r="A926" s="41"/>
      <c r="B926" s="149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150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150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</row>
    <row r="927" ht="23.25" customHeight="1">
      <c r="A927" s="41"/>
      <c r="B927" s="149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150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150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</row>
    <row r="928" ht="23.25" customHeight="1">
      <c r="A928" s="41"/>
      <c r="B928" s="149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150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150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</row>
    <row r="929" ht="23.25" customHeight="1">
      <c r="A929" s="41"/>
      <c r="B929" s="149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150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150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</row>
    <row r="930" ht="23.25" customHeight="1">
      <c r="A930" s="41"/>
      <c r="B930" s="149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150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150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</row>
    <row r="931" ht="23.25" customHeight="1">
      <c r="A931" s="41"/>
      <c r="B931" s="149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150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150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</row>
    <row r="932" ht="23.25" customHeight="1">
      <c r="A932" s="41"/>
      <c r="B932" s="149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150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150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</row>
    <row r="933" ht="23.25" customHeight="1">
      <c r="A933" s="41"/>
      <c r="B933" s="149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150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150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</row>
    <row r="934" ht="23.25" customHeight="1">
      <c r="A934" s="41"/>
      <c r="B934" s="149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150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150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</row>
    <row r="935" ht="23.25" customHeight="1">
      <c r="A935" s="41"/>
      <c r="B935" s="149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150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150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</row>
    <row r="936" ht="23.25" customHeight="1">
      <c r="A936" s="41"/>
      <c r="B936" s="149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150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150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</row>
    <row r="937" ht="23.25" customHeight="1">
      <c r="A937" s="41"/>
      <c r="B937" s="149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150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150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</row>
    <row r="938" ht="23.25" customHeight="1">
      <c r="A938" s="41"/>
      <c r="B938" s="149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150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150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</row>
    <row r="939" ht="23.25" customHeight="1">
      <c r="A939" s="41"/>
      <c r="B939" s="149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150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150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</row>
    <row r="940" ht="23.25" customHeight="1">
      <c r="A940" s="41"/>
      <c r="B940" s="149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150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150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</row>
    <row r="941" ht="23.25" customHeight="1">
      <c r="A941" s="41"/>
      <c r="B941" s="149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150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150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</row>
    <row r="942" ht="23.25" customHeight="1">
      <c r="A942" s="41"/>
      <c r="B942" s="149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150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150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</row>
    <row r="943" ht="23.25" customHeight="1">
      <c r="A943" s="41"/>
      <c r="B943" s="149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150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150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</row>
    <row r="944" ht="23.25" customHeight="1">
      <c r="A944" s="41"/>
      <c r="B944" s="149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150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150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</row>
    <row r="945" ht="23.25" customHeight="1">
      <c r="A945" s="41"/>
      <c r="B945" s="149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150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150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</row>
    <row r="946" ht="23.25" customHeight="1">
      <c r="A946" s="41"/>
      <c r="B946" s="149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150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150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</row>
    <row r="947" ht="23.25" customHeight="1">
      <c r="A947" s="41"/>
      <c r="B947" s="149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150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150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</row>
    <row r="948" ht="23.25" customHeight="1">
      <c r="A948" s="41"/>
      <c r="B948" s="149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150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150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</row>
    <row r="949" ht="23.25" customHeight="1">
      <c r="A949" s="41"/>
      <c r="B949" s="149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150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150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</row>
    <row r="950" ht="23.25" customHeight="1">
      <c r="A950" s="41"/>
      <c r="B950" s="149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150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150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</row>
    <row r="951" ht="23.25" customHeight="1">
      <c r="A951" s="41"/>
      <c r="B951" s="149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150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150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</row>
    <row r="952" ht="23.25" customHeight="1">
      <c r="A952" s="41"/>
      <c r="B952" s="149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150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150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</row>
    <row r="953" ht="23.25" customHeight="1">
      <c r="A953" s="41"/>
      <c r="B953" s="149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150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150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</row>
    <row r="954" ht="23.25" customHeight="1">
      <c r="A954" s="41"/>
      <c r="B954" s="149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150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150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</row>
    <row r="955" ht="23.25" customHeight="1">
      <c r="A955" s="41"/>
      <c r="B955" s="149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150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150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</row>
    <row r="956" ht="23.25" customHeight="1">
      <c r="A956" s="41"/>
      <c r="B956" s="149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150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150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</row>
    <row r="957" ht="23.25" customHeight="1">
      <c r="A957" s="41"/>
      <c r="B957" s="149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150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150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</row>
    <row r="958" ht="23.25" customHeight="1">
      <c r="A958" s="41"/>
      <c r="B958" s="149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150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150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</row>
    <row r="959" ht="23.25" customHeight="1">
      <c r="A959" s="41"/>
      <c r="B959" s="149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150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150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</row>
    <row r="960" ht="23.25" customHeight="1">
      <c r="A960" s="41"/>
      <c r="B960" s="149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150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150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</row>
    <row r="961" ht="23.25" customHeight="1">
      <c r="A961" s="41"/>
      <c r="B961" s="149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150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150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</row>
    <row r="962" ht="23.25" customHeight="1">
      <c r="A962" s="41"/>
      <c r="B962" s="149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150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150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</row>
    <row r="963" ht="23.25" customHeight="1">
      <c r="A963" s="41"/>
      <c r="B963" s="149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150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150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</row>
    <row r="964" ht="23.25" customHeight="1">
      <c r="A964" s="41"/>
      <c r="B964" s="149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150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150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</row>
    <row r="965" ht="23.25" customHeight="1">
      <c r="A965" s="41"/>
      <c r="B965" s="149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150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150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</row>
    <row r="966" ht="23.25" customHeight="1">
      <c r="A966" s="41"/>
      <c r="B966" s="149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150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150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</row>
    <row r="967" ht="23.25" customHeight="1">
      <c r="A967" s="41"/>
      <c r="B967" s="149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150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150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</row>
    <row r="968" ht="23.25" customHeight="1">
      <c r="A968" s="41"/>
      <c r="B968" s="149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150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150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</row>
    <row r="969" ht="23.25" customHeight="1">
      <c r="A969" s="41"/>
      <c r="B969" s="149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150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150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</row>
    <row r="970" ht="23.25" customHeight="1">
      <c r="A970" s="41"/>
      <c r="B970" s="149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150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150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</row>
    <row r="971" ht="23.25" customHeight="1">
      <c r="A971" s="41"/>
      <c r="B971" s="149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150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150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</row>
    <row r="972" ht="23.25" customHeight="1">
      <c r="A972" s="41"/>
      <c r="B972" s="149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150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150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</row>
    <row r="973" ht="23.25" customHeight="1">
      <c r="A973" s="41"/>
      <c r="B973" s="149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150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150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</row>
    <row r="974" ht="23.25" customHeight="1">
      <c r="A974" s="41"/>
      <c r="B974" s="149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150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150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</row>
    <row r="975" ht="23.25" customHeight="1">
      <c r="A975" s="41"/>
      <c r="B975" s="149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150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150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</row>
    <row r="976" ht="23.25" customHeight="1">
      <c r="A976" s="41"/>
      <c r="B976" s="149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150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150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</row>
    <row r="977" ht="23.25" customHeight="1">
      <c r="A977" s="41"/>
      <c r="B977" s="149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150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150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</row>
    <row r="978" ht="23.25" customHeight="1">
      <c r="A978" s="41"/>
      <c r="B978" s="149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150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150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</row>
    <row r="979" ht="23.25" customHeight="1">
      <c r="A979" s="41"/>
      <c r="B979" s="149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150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150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</row>
    <row r="980" ht="23.25" customHeight="1">
      <c r="A980" s="41"/>
      <c r="B980" s="149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150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150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</row>
    <row r="981" ht="23.25" customHeight="1">
      <c r="A981" s="41"/>
      <c r="B981" s="149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150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150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</row>
    <row r="982" ht="23.25" customHeight="1">
      <c r="A982" s="41"/>
      <c r="B982" s="149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150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150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</row>
    <row r="983" ht="23.25" customHeight="1">
      <c r="A983" s="41"/>
      <c r="B983" s="149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150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150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</row>
    <row r="984" ht="23.25" customHeight="1">
      <c r="A984" s="41"/>
      <c r="B984" s="149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150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150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</row>
    <row r="985" ht="23.25" customHeight="1">
      <c r="A985" s="41"/>
      <c r="B985" s="149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150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150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</row>
    <row r="986" ht="23.25" customHeight="1">
      <c r="A986" s="41"/>
      <c r="B986" s="149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150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150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</row>
    <row r="987" ht="23.25" customHeight="1">
      <c r="A987" s="41"/>
      <c r="B987" s="149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150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150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</row>
    <row r="988" ht="23.25" customHeight="1">
      <c r="A988" s="41"/>
      <c r="B988" s="149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150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150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</row>
    <row r="989" ht="23.25" customHeight="1">
      <c r="A989" s="41"/>
      <c r="B989" s="149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150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150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</row>
    <row r="990" ht="23.25" customHeight="1">
      <c r="A990" s="41"/>
      <c r="B990" s="149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150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150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</row>
    <row r="991" ht="23.25" customHeight="1">
      <c r="A991" s="41"/>
      <c r="B991" s="149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150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150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</row>
    <row r="992" ht="23.25" customHeight="1">
      <c r="A992" s="41"/>
      <c r="B992" s="149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150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150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</row>
    <row r="993" ht="23.25" customHeight="1">
      <c r="A993" s="41"/>
      <c r="B993" s="149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150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150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</row>
    <row r="994" ht="23.25" customHeight="1">
      <c r="A994" s="41"/>
      <c r="B994" s="149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150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150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</row>
    <row r="995" ht="23.25" customHeight="1">
      <c r="A995" s="41"/>
      <c r="B995" s="149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150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150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</row>
    <row r="996" ht="23.25" customHeight="1">
      <c r="A996" s="41"/>
      <c r="B996" s="149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150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150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</row>
    <row r="997" ht="23.25" customHeight="1">
      <c r="A997" s="41"/>
      <c r="B997" s="149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150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150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</row>
    <row r="998" ht="23.25" customHeight="1">
      <c r="A998" s="41"/>
      <c r="B998" s="149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150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150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</row>
    <row r="999" ht="23.25" customHeight="1">
      <c r="A999" s="41"/>
      <c r="B999" s="149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150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150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</row>
    <row r="1000" ht="23.25" customHeight="1">
      <c r="A1000" s="41"/>
      <c r="B1000" s="149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150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150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</row>
  </sheetData>
  <mergeCells count="72">
    <mergeCell ref="B9:B10"/>
    <mergeCell ref="B11:B12"/>
    <mergeCell ref="B13:B18"/>
    <mergeCell ref="B19:B20"/>
    <mergeCell ref="E5:I5"/>
    <mergeCell ref="E6:I6"/>
    <mergeCell ref="B7:B8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25:I25"/>
    <mergeCell ref="E26:I26"/>
    <mergeCell ref="E27:I27"/>
    <mergeCell ref="E28:I28"/>
    <mergeCell ref="E29:I29"/>
    <mergeCell ref="E30:I30"/>
    <mergeCell ref="E31:I31"/>
    <mergeCell ref="J31:K31"/>
    <mergeCell ref="E18:I18"/>
    <mergeCell ref="E19:I19"/>
    <mergeCell ref="E20:I20"/>
    <mergeCell ref="E21:I21"/>
    <mergeCell ref="E22:I22"/>
    <mergeCell ref="E23:I23"/>
    <mergeCell ref="E24:I24"/>
    <mergeCell ref="BC1:BD1"/>
    <mergeCell ref="BE1:BK1"/>
    <mergeCell ref="C1:AM1"/>
    <mergeCell ref="AN1:AO1"/>
    <mergeCell ref="AP1:AR1"/>
    <mergeCell ref="AS1:AT1"/>
    <mergeCell ref="AU1:AW1"/>
    <mergeCell ref="AX1:AY1"/>
    <mergeCell ref="AZ1:BB1"/>
    <mergeCell ref="AV2:AW2"/>
    <mergeCell ref="AZ2:BA2"/>
    <mergeCell ref="BB2:BC2"/>
    <mergeCell ref="BD2:BE2"/>
    <mergeCell ref="BF2:BG2"/>
    <mergeCell ref="BH2:BI2"/>
    <mergeCell ref="BJ2:BK2"/>
    <mergeCell ref="C2:L2"/>
    <mergeCell ref="M2:N2"/>
    <mergeCell ref="O2:S2"/>
    <mergeCell ref="T2:X2"/>
    <mergeCell ref="Y2:AM2"/>
    <mergeCell ref="AN2:AO2"/>
    <mergeCell ref="AP2:AU2"/>
    <mergeCell ref="BC3:BG3"/>
    <mergeCell ref="BH3:BK3"/>
    <mergeCell ref="O3:X3"/>
    <mergeCell ref="Y3:AC3"/>
    <mergeCell ref="AD3:AH3"/>
    <mergeCell ref="AI3:AM3"/>
    <mergeCell ref="AN3:AR3"/>
    <mergeCell ref="AS3:AW3"/>
    <mergeCell ref="AX3:BB3"/>
    <mergeCell ref="B3:B4"/>
    <mergeCell ref="C3:C4"/>
    <mergeCell ref="D3:D4"/>
    <mergeCell ref="E3:I4"/>
    <mergeCell ref="J3:L3"/>
    <mergeCell ref="M3:M4"/>
    <mergeCell ref="N3:N4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23.89"/>
    <col customWidth="1" min="2" max="5" width="6.89"/>
    <col customWidth="1" min="6" max="6" width="2.67"/>
    <col customWidth="1" min="7" max="7" width="10.33"/>
    <col customWidth="1" min="8" max="29" width="4.44"/>
    <col customWidth="1" min="30" max="30" width="6.89"/>
  </cols>
  <sheetData>
    <row r="1" ht="54.0" customHeight="1">
      <c r="A1" s="151"/>
      <c r="B1" s="26"/>
      <c r="C1" s="26"/>
      <c r="D1" s="26"/>
      <c r="E1" s="26"/>
      <c r="F1" s="27"/>
      <c r="G1" s="152" t="s">
        <v>181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  <c r="Y1" s="153" t="s">
        <v>49</v>
      </c>
      <c r="Z1" s="3"/>
      <c r="AA1" s="154"/>
      <c r="AB1" s="26"/>
      <c r="AC1" s="26"/>
      <c r="AD1" s="27"/>
    </row>
    <row r="2">
      <c r="A2" s="155" t="s">
        <v>182</v>
      </c>
      <c r="B2" s="156"/>
      <c r="C2" s="26"/>
      <c r="D2" s="26"/>
      <c r="E2" s="26"/>
      <c r="F2" s="27"/>
      <c r="G2" s="157" t="s">
        <v>183</v>
      </c>
      <c r="H2" s="158"/>
      <c r="I2" s="26"/>
      <c r="J2" s="26"/>
      <c r="K2" s="27"/>
      <c r="L2" s="159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1"/>
    </row>
    <row r="3" ht="15.75" customHeight="1">
      <c r="A3" s="162" t="s">
        <v>184</v>
      </c>
      <c r="B3" s="163" t="s">
        <v>185</v>
      </c>
      <c r="C3" s="2"/>
      <c r="D3" s="2"/>
      <c r="E3" s="2"/>
      <c r="F3" s="3"/>
      <c r="G3" s="62" t="s">
        <v>66</v>
      </c>
      <c r="H3" s="66"/>
      <c r="I3" s="26"/>
      <c r="J3" s="27"/>
      <c r="K3" s="66"/>
      <c r="L3" s="26"/>
      <c r="M3" s="26"/>
      <c r="N3" s="27"/>
      <c r="O3" s="66"/>
      <c r="P3" s="26"/>
      <c r="Q3" s="26"/>
      <c r="R3" s="27"/>
      <c r="S3" s="66"/>
      <c r="T3" s="26"/>
      <c r="U3" s="26"/>
      <c r="V3" s="26"/>
      <c r="W3" s="27"/>
      <c r="X3" s="66"/>
      <c r="Y3" s="26"/>
      <c r="Z3" s="26"/>
      <c r="AA3" s="27"/>
      <c r="AB3" s="59"/>
      <c r="AC3" s="27"/>
      <c r="AD3" s="62" t="s">
        <v>186</v>
      </c>
    </row>
    <row r="4">
      <c r="A4" s="68"/>
      <c r="B4" s="6"/>
      <c r="C4" s="7"/>
      <c r="D4" s="7"/>
      <c r="E4" s="7"/>
      <c r="F4" s="8"/>
      <c r="G4" s="68"/>
      <c r="H4" s="70" t="s">
        <v>72</v>
      </c>
      <c r="I4" s="70" t="s">
        <v>73</v>
      </c>
      <c r="J4" s="70" t="s">
        <v>74</v>
      </c>
      <c r="K4" s="70" t="s">
        <v>75</v>
      </c>
      <c r="L4" s="70" t="s">
        <v>77</v>
      </c>
      <c r="M4" s="70" t="s">
        <v>78</v>
      </c>
      <c r="N4" s="70" t="s">
        <v>79</v>
      </c>
      <c r="O4" s="70" t="s">
        <v>80</v>
      </c>
      <c r="P4" s="70" t="s">
        <v>81</v>
      </c>
      <c r="Q4" s="70" t="s">
        <v>82</v>
      </c>
      <c r="R4" s="70" t="s">
        <v>83</v>
      </c>
      <c r="S4" s="70" t="s">
        <v>84</v>
      </c>
      <c r="T4" s="70" t="s">
        <v>85</v>
      </c>
      <c r="U4" s="70" t="s">
        <v>86</v>
      </c>
      <c r="V4" s="70" t="s">
        <v>87</v>
      </c>
      <c r="W4" s="70" t="s">
        <v>88</v>
      </c>
      <c r="X4" s="70" t="s">
        <v>89</v>
      </c>
      <c r="Y4" s="70" t="s">
        <v>90</v>
      </c>
      <c r="Z4" s="70" t="s">
        <v>91</v>
      </c>
      <c r="AA4" s="70" t="s">
        <v>92</v>
      </c>
      <c r="AB4" s="70" t="s">
        <v>93</v>
      </c>
      <c r="AC4" s="70" t="s">
        <v>94</v>
      </c>
      <c r="AD4" s="68"/>
    </row>
    <row r="5" ht="19.5" customHeight="1">
      <c r="A5" s="164" t="s">
        <v>187</v>
      </c>
      <c r="B5" s="26"/>
      <c r="C5" s="26"/>
      <c r="D5" s="26"/>
      <c r="E5" s="26"/>
      <c r="F5" s="27"/>
      <c r="G5" s="165" t="s">
        <v>188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7"/>
      <c r="V5" s="166"/>
      <c r="W5" s="166"/>
      <c r="X5" s="166"/>
      <c r="Y5" s="166"/>
      <c r="Z5" s="168"/>
      <c r="AA5" s="166"/>
      <c r="AB5" s="166"/>
      <c r="AC5" s="166"/>
      <c r="AD5" s="166"/>
    </row>
    <row r="6" ht="19.5" customHeight="1">
      <c r="A6" s="169" t="s">
        <v>189</v>
      </c>
      <c r="B6" s="170" t="s">
        <v>190</v>
      </c>
      <c r="C6" s="2"/>
      <c r="D6" s="2"/>
      <c r="E6" s="2"/>
      <c r="F6" s="3"/>
      <c r="G6" s="162" t="s">
        <v>191</v>
      </c>
      <c r="H6" s="171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62"/>
    </row>
    <row r="7" ht="19.5" customHeight="1">
      <c r="A7" s="169" t="s">
        <v>192</v>
      </c>
      <c r="B7" s="170" t="s">
        <v>193</v>
      </c>
      <c r="C7" s="2"/>
      <c r="D7" s="2"/>
      <c r="E7" s="2"/>
      <c r="F7" s="3"/>
      <c r="G7" s="162" t="s">
        <v>191</v>
      </c>
      <c r="H7" s="172"/>
      <c r="I7" s="171"/>
      <c r="J7" s="173"/>
      <c r="K7" s="171"/>
      <c r="L7" s="171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62"/>
    </row>
    <row r="8" ht="19.5" customHeight="1">
      <c r="A8" s="169" t="s">
        <v>194</v>
      </c>
      <c r="B8" s="170" t="s">
        <v>195</v>
      </c>
      <c r="C8" s="2"/>
      <c r="D8" s="2"/>
      <c r="E8" s="2"/>
      <c r="F8" s="3"/>
      <c r="G8" s="162" t="s">
        <v>188</v>
      </c>
      <c r="H8" s="172"/>
      <c r="I8" s="172"/>
      <c r="J8" s="41"/>
      <c r="K8" s="172"/>
      <c r="L8" s="172"/>
      <c r="M8" s="174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62"/>
    </row>
    <row r="9" ht="19.5" customHeight="1">
      <c r="A9" s="169" t="s">
        <v>196</v>
      </c>
      <c r="B9" s="175"/>
      <c r="C9" s="2"/>
      <c r="D9" s="2"/>
      <c r="E9" s="2"/>
      <c r="F9" s="3"/>
      <c r="G9" s="162" t="s">
        <v>188</v>
      </c>
      <c r="H9" s="172"/>
      <c r="I9" s="172"/>
      <c r="J9" s="172"/>
      <c r="K9" s="172"/>
      <c r="L9" s="172"/>
      <c r="M9" s="172"/>
      <c r="N9" s="174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62"/>
    </row>
    <row r="10" ht="19.5" customHeight="1">
      <c r="A10" s="169" t="s">
        <v>197</v>
      </c>
      <c r="B10" s="170"/>
      <c r="C10" s="2"/>
      <c r="D10" s="2"/>
      <c r="E10" s="2"/>
      <c r="F10" s="3"/>
      <c r="G10" s="162" t="s">
        <v>188</v>
      </c>
      <c r="H10" s="172"/>
      <c r="I10" s="172"/>
      <c r="J10" s="172"/>
      <c r="K10" s="172"/>
      <c r="L10" s="172"/>
      <c r="M10" s="172"/>
      <c r="N10" s="174"/>
      <c r="O10" s="174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62"/>
    </row>
    <row r="11" ht="19.5" customHeight="1">
      <c r="A11" s="169" t="s">
        <v>198</v>
      </c>
      <c r="B11" s="175"/>
      <c r="C11" s="2"/>
      <c r="D11" s="2"/>
      <c r="E11" s="2"/>
      <c r="F11" s="3"/>
      <c r="G11" s="162" t="s">
        <v>188</v>
      </c>
      <c r="H11" s="172"/>
      <c r="I11" s="172"/>
      <c r="J11" s="172"/>
      <c r="K11" s="172"/>
      <c r="L11" s="172"/>
      <c r="M11" s="172"/>
      <c r="N11" s="172"/>
      <c r="O11" s="172"/>
      <c r="P11" s="174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62"/>
    </row>
    <row r="12" ht="19.5" customHeight="1">
      <c r="A12" s="169" t="s">
        <v>199</v>
      </c>
      <c r="B12" s="175"/>
      <c r="C12" s="2"/>
      <c r="D12" s="2"/>
      <c r="E12" s="2"/>
      <c r="F12" s="3"/>
      <c r="G12" s="162" t="s">
        <v>188</v>
      </c>
      <c r="H12" s="172"/>
      <c r="I12" s="172"/>
      <c r="J12" s="172"/>
      <c r="K12" s="172"/>
      <c r="L12" s="172"/>
      <c r="M12" s="172"/>
      <c r="N12" s="172"/>
      <c r="O12" s="172"/>
      <c r="P12" s="172"/>
      <c r="Q12" s="174"/>
      <c r="R12" s="174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62"/>
    </row>
    <row r="13" ht="19.5" customHeight="1">
      <c r="A13" s="169" t="s">
        <v>200</v>
      </c>
      <c r="B13" s="175"/>
      <c r="C13" s="2"/>
      <c r="D13" s="2"/>
      <c r="E13" s="2"/>
      <c r="F13" s="3"/>
      <c r="G13" s="162" t="s">
        <v>188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4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62"/>
    </row>
    <row r="14" ht="19.5" customHeight="1">
      <c r="A14" s="169" t="s">
        <v>201</v>
      </c>
      <c r="B14" s="176"/>
      <c r="C14" s="2"/>
      <c r="D14" s="2"/>
      <c r="E14" s="2"/>
      <c r="F14" s="3"/>
      <c r="G14" s="162" t="s">
        <v>188</v>
      </c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4"/>
      <c r="U14" s="172"/>
      <c r="V14" s="172"/>
      <c r="W14" s="172"/>
      <c r="X14" s="172"/>
      <c r="Y14" s="172"/>
      <c r="Z14" s="172"/>
      <c r="AA14" s="172"/>
      <c r="AB14" s="172"/>
      <c r="AC14" s="172"/>
      <c r="AD14" s="162"/>
    </row>
    <row r="15" ht="19.5" customHeight="1">
      <c r="A15" s="103" t="s">
        <v>202</v>
      </c>
      <c r="B15" s="177"/>
      <c r="C15" s="26"/>
      <c r="D15" s="26"/>
      <c r="E15" s="26"/>
      <c r="F15" s="27"/>
      <c r="G15" s="98" t="s">
        <v>203</v>
      </c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4"/>
      <c r="V15" s="172"/>
      <c r="W15" s="172"/>
      <c r="X15" s="172"/>
      <c r="Y15" s="172"/>
      <c r="Z15" s="172"/>
      <c r="AA15" s="172"/>
      <c r="AB15" s="172"/>
      <c r="AC15" s="172"/>
      <c r="AD15" s="98"/>
    </row>
    <row r="16" ht="19.5" customHeight="1">
      <c r="A16" s="178"/>
      <c r="B16" s="178"/>
      <c r="C16" s="2"/>
      <c r="D16" s="2"/>
      <c r="E16" s="2"/>
      <c r="F16" s="2"/>
      <c r="G16" s="179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41"/>
      <c r="AA16" s="181" t="s">
        <v>204</v>
      </c>
      <c r="AB16" s="2"/>
      <c r="AC16" s="2"/>
      <c r="AD16" s="2"/>
    </row>
    <row r="17" ht="19.5" customHeight="1">
      <c r="A17" s="182"/>
      <c r="B17" s="183"/>
      <c r="G17" s="184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4"/>
    </row>
    <row r="18" ht="19.5" customHeight="1"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</row>
    <row r="19" ht="19.5" hidden="1" customHeight="1">
      <c r="A19" s="185" t="s">
        <v>205</v>
      </c>
      <c r="B19" s="186"/>
      <c r="C19" s="186"/>
      <c r="D19" s="186"/>
      <c r="E19" s="186"/>
      <c r="F19" s="187"/>
      <c r="G19" s="188" t="s">
        <v>206</v>
      </c>
      <c r="H19" s="189"/>
      <c r="I19" s="189"/>
      <c r="J19" s="189"/>
      <c r="K19" s="189"/>
      <c r="L19" s="189"/>
      <c r="M19" s="189"/>
      <c r="N19" s="189"/>
      <c r="O19" s="189"/>
      <c r="P19" s="189"/>
      <c r="Q19" s="190"/>
      <c r="R19" s="189"/>
      <c r="S19" s="189"/>
      <c r="T19" s="189"/>
      <c r="U19" s="191"/>
      <c r="V19" s="189"/>
      <c r="W19" s="189"/>
      <c r="X19" s="189"/>
      <c r="Y19" s="189"/>
      <c r="Z19" s="192"/>
      <c r="AA19" s="189"/>
      <c r="AB19" s="189"/>
      <c r="AC19" s="189"/>
      <c r="AD19" s="189"/>
    </row>
    <row r="20" ht="19.5" hidden="1" customHeight="1">
      <c r="A20" s="193" t="s">
        <v>207</v>
      </c>
      <c r="B20" s="163"/>
      <c r="C20" s="2"/>
      <c r="D20" s="2"/>
      <c r="E20" s="2"/>
      <c r="F20" s="3"/>
      <c r="G20" s="162" t="s">
        <v>188</v>
      </c>
      <c r="H20" s="58"/>
      <c r="I20" s="58"/>
      <c r="J20" s="58"/>
      <c r="K20" s="58"/>
      <c r="L20" s="58"/>
      <c r="M20" s="58"/>
      <c r="N20" s="58"/>
      <c r="O20" s="58"/>
      <c r="P20" s="58"/>
      <c r="Q20" s="194"/>
      <c r="R20" s="58"/>
      <c r="S20" s="58"/>
      <c r="T20" s="58"/>
      <c r="U20" s="195"/>
      <c r="V20" s="58"/>
      <c r="W20" s="58"/>
      <c r="X20" s="58"/>
      <c r="Y20" s="58"/>
      <c r="Z20" s="196"/>
      <c r="AA20" s="58"/>
      <c r="AB20" s="58"/>
      <c r="AC20" s="58"/>
      <c r="AD20" s="197"/>
    </row>
    <row r="21" ht="19.5" hidden="1" customHeight="1">
      <c r="A21" s="68"/>
      <c r="B21" s="6"/>
      <c r="C21" s="7"/>
      <c r="D21" s="7"/>
      <c r="E21" s="7"/>
      <c r="F21" s="8"/>
      <c r="G21" s="68"/>
      <c r="H21" s="58"/>
      <c r="I21" s="58"/>
      <c r="J21" s="58"/>
      <c r="K21" s="58"/>
      <c r="L21" s="58"/>
      <c r="M21" s="58"/>
      <c r="N21" s="58"/>
      <c r="O21" s="58"/>
      <c r="P21" s="58"/>
      <c r="Q21" s="194"/>
      <c r="R21" s="58"/>
      <c r="S21" s="58"/>
      <c r="T21" s="58"/>
      <c r="U21" s="195"/>
      <c r="V21" s="58"/>
      <c r="W21" s="58"/>
      <c r="X21" s="58"/>
      <c r="Y21" s="58"/>
      <c r="Z21" s="196"/>
      <c r="AA21" s="58"/>
      <c r="AB21" s="58"/>
      <c r="AC21" s="58"/>
      <c r="AD21" s="197"/>
    </row>
    <row r="22" ht="19.5" hidden="1" customHeight="1">
      <c r="A22" s="193" t="s">
        <v>208</v>
      </c>
      <c r="B22" s="163"/>
      <c r="C22" s="2"/>
      <c r="D22" s="2"/>
      <c r="E22" s="2"/>
      <c r="F22" s="3"/>
      <c r="G22" s="162" t="s">
        <v>188</v>
      </c>
      <c r="H22" s="58"/>
      <c r="I22" s="58"/>
      <c r="J22" s="58"/>
      <c r="K22" s="58"/>
      <c r="L22" s="58"/>
      <c r="M22" s="58"/>
      <c r="N22" s="58"/>
      <c r="O22" s="58"/>
      <c r="P22" s="58"/>
      <c r="Q22" s="194"/>
      <c r="R22" s="58"/>
      <c r="S22" s="58"/>
      <c r="T22" s="58"/>
      <c r="U22" s="195"/>
      <c r="V22" s="58"/>
      <c r="W22" s="58"/>
      <c r="X22" s="58"/>
      <c r="Y22" s="58"/>
      <c r="Z22" s="196"/>
      <c r="AA22" s="58"/>
      <c r="AB22" s="58"/>
      <c r="AC22" s="58"/>
      <c r="AD22" s="197"/>
    </row>
    <row r="23" ht="19.5" hidden="1" customHeight="1">
      <c r="A23" s="68"/>
      <c r="B23" s="6"/>
      <c r="C23" s="7"/>
      <c r="D23" s="7"/>
      <c r="E23" s="7"/>
      <c r="F23" s="8"/>
      <c r="G23" s="68"/>
      <c r="H23" s="58"/>
      <c r="I23" s="58"/>
      <c r="J23" s="58"/>
      <c r="K23" s="58"/>
      <c r="L23" s="58"/>
      <c r="M23" s="58"/>
      <c r="N23" s="58"/>
      <c r="O23" s="58"/>
      <c r="P23" s="58"/>
      <c r="Q23" s="194"/>
      <c r="R23" s="58"/>
      <c r="S23" s="58"/>
      <c r="T23" s="58"/>
      <c r="U23" s="195"/>
      <c r="V23" s="58"/>
      <c r="W23" s="58"/>
      <c r="X23" s="58"/>
      <c r="Y23" s="58"/>
      <c r="Z23" s="196"/>
      <c r="AA23" s="58"/>
      <c r="AB23" s="58"/>
      <c r="AC23" s="58"/>
      <c r="AD23" s="197"/>
    </row>
    <row r="24" ht="19.5" hidden="1" customHeight="1">
      <c r="A24" s="193" t="s">
        <v>209</v>
      </c>
      <c r="B24" s="163"/>
      <c r="C24" s="2"/>
      <c r="D24" s="2"/>
      <c r="E24" s="2"/>
      <c r="F24" s="3"/>
      <c r="G24" s="162" t="s">
        <v>188</v>
      </c>
      <c r="H24" s="58"/>
      <c r="I24" s="58"/>
      <c r="J24" s="58"/>
      <c r="K24" s="58"/>
      <c r="L24" s="58"/>
      <c r="M24" s="58"/>
      <c r="N24" s="58"/>
      <c r="O24" s="58"/>
      <c r="P24" s="58"/>
      <c r="Q24" s="194"/>
      <c r="R24" s="58"/>
      <c r="S24" s="58"/>
      <c r="T24" s="58"/>
      <c r="U24" s="195"/>
      <c r="V24" s="58"/>
      <c r="W24" s="58"/>
      <c r="X24" s="58"/>
      <c r="Y24" s="58"/>
      <c r="Z24" s="196"/>
      <c r="AA24" s="58"/>
      <c r="AB24" s="58"/>
      <c r="AC24" s="58"/>
      <c r="AD24" s="197"/>
    </row>
    <row r="25" ht="19.5" hidden="1" customHeight="1">
      <c r="A25" s="68"/>
      <c r="B25" s="6"/>
      <c r="C25" s="7"/>
      <c r="D25" s="7"/>
      <c r="E25" s="7"/>
      <c r="F25" s="8"/>
      <c r="G25" s="68"/>
      <c r="H25" s="58"/>
      <c r="I25" s="58"/>
      <c r="J25" s="58"/>
      <c r="K25" s="58"/>
      <c r="L25" s="58"/>
      <c r="M25" s="58"/>
      <c r="N25" s="58"/>
      <c r="O25" s="58"/>
      <c r="P25" s="58"/>
      <c r="Q25" s="194"/>
      <c r="R25" s="58"/>
      <c r="S25" s="58"/>
      <c r="T25" s="58"/>
      <c r="U25" s="195"/>
      <c r="V25" s="58"/>
      <c r="W25" s="58"/>
      <c r="X25" s="58"/>
      <c r="Y25" s="58"/>
      <c r="Z25" s="196"/>
      <c r="AA25" s="58"/>
      <c r="AB25" s="58"/>
      <c r="AC25" s="58"/>
      <c r="AD25" s="197"/>
    </row>
    <row r="26" ht="19.5" hidden="1" customHeight="1">
      <c r="A26" s="193" t="s">
        <v>210</v>
      </c>
      <c r="B26" s="163"/>
      <c r="C26" s="2"/>
      <c r="D26" s="2"/>
      <c r="E26" s="2"/>
      <c r="F26" s="3"/>
      <c r="G26" s="162" t="s">
        <v>188</v>
      </c>
      <c r="H26" s="58"/>
      <c r="I26" s="58"/>
      <c r="J26" s="58"/>
      <c r="K26" s="58"/>
      <c r="L26" s="58"/>
      <c r="M26" s="58"/>
      <c r="N26" s="58"/>
      <c r="O26" s="58"/>
      <c r="P26" s="58"/>
      <c r="Q26" s="194"/>
      <c r="R26" s="58"/>
      <c r="S26" s="58"/>
      <c r="T26" s="58"/>
      <c r="U26" s="195"/>
      <c r="V26" s="58"/>
      <c r="W26" s="58"/>
      <c r="X26" s="58"/>
      <c r="Y26" s="58"/>
      <c r="Z26" s="196"/>
      <c r="AA26" s="58"/>
      <c r="AB26" s="58"/>
      <c r="AC26" s="58"/>
      <c r="AD26" s="197"/>
    </row>
    <row r="27" ht="19.5" hidden="1" customHeight="1">
      <c r="A27" s="68"/>
      <c r="B27" s="6"/>
      <c r="C27" s="7"/>
      <c r="D27" s="7"/>
      <c r="E27" s="7"/>
      <c r="F27" s="8"/>
      <c r="G27" s="68"/>
      <c r="H27" s="58"/>
      <c r="I27" s="58"/>
      <c r="J27" s="58"/>
      <c r="K27" s="58"/>
      <c r="L27" s="58"/>
      <c r="M27" s="58"/>
      <c r="N27" s="58"/>
      <c r="O27" s="58"/>
      <c r="P27" s="58"/>
      <c r="Q27" s="194"/>
      <c r="R27" s="58"/>
      <c r="S27" s="58"/>
      <c r="T27" s="58"/>
      <c r="U27" s="195"/>
      <c r="V27" s="58"/>
      <c r="W27" s="58"/>
      <c r="X27" s="58"/>
      <c r="Y27" s="58"/>
      <c r="Z27" s="196"/>
      <c r="AA27" s="58"/>
      <c r="AB27" s="58"/>
      <c r="AC27" s="58"/>
      <c r="AD27" s="197"/>
    </row>
    <row r="28" ht="19.5" hidden="1" customHeight="1">
      <c r="A28" s="193" t="s">
        <v>211</v>
      </c>
      <c r="B28" s="163"/>
      <c r="C28" s="2"/>
      <c r="D28" s="2"/>
      <c r="E28" s="2"/>
      <c r="F28" s="3"/>
      <c r="G28" s="162" t="s">
        <v>188</v>
      </c>
      <c r="H28" s="58"/>
      <c r="I28" s="58"/>
      <c r="J28" s="58"/>
      <c r="K28" s="58"/>
      <c r="L28" s="58"/>
      <c r="M28" s="58"/>
      <c r="N28" s="58"/>
      <c r="O28" s="58"/>
      <c r="P28" s="58"/>
      <c r="Q28" s="194"/>
      <c r="R28" s="58"/>
      <c r="S28" s="58"/>
      <c r="T28" s="58"/>
      <c r="U28" s="195"/>
      <c r="V28" s="58"/>
      <c r="W28" s="58"/>
      <c r="X28" s="58"/>
      <c r="Y28" s="58"/>
      <c r="Z28" s="196"/>
      <c r="AA28" s="58"/>
      <c r="AB28" s="58"/>
      <c r="AC28" s="58"/>
      <c r="AD28" s="197"/>
    </row>
    <row r="29" ht="19.5" hidden="1" customHeight="1">
      <c r="A29" s="68"/>
      <c r="B29" s="6"/>
      <c r="C29" s="7"/>
      <c r="D29" s="7"/>
      <c r="E29" s="7"/>
      <c r="F29" s="8"/>
      <c r="G29" s="68"/>
      <c r="H29" s="58"/>
      <c r="I29" s="58"/>
      <c r="J29" s="58"/>
      <c r="K29" s="58"/>
      <c r="L29" s="58"/>
      <c r="M29" s="58"/>
      <c r="N29" s="58"/>
      <c r="O29" s="58"/>
      <c r="P29" s="58"/>
      <c r="Q29" s="194"/>
      <c r="R29" s="58"/>
      <c r="S29" s="58"/>
      <c r="T29" s="58"/>
      <c r="U29" s="195"/>
      <c r="V29" s="58"/>
      <c r="W29" s="58"/>
      <c r="X29" s="58"/>
      <c r="Y29" s="58"/>
      <c r="Z29" s="196"/>
      <c r="AA29" s="58"/>
      <c r="AB29" s="58"/>
      <c r="AC29" s="58"/>
      <c r="AD29" s="197"/>
    </row>
    <row r="30" ht="19.5" hidden="1" customHeight="1">
      <c r="A30" s="193" t="s">
        <v>212</v>
      </c>
      <c r="B30" s="163"/>
      <c r="C30" s="2"/>
      <c r="D30" s="2"/>
      <c r="E30" s="2"/>
      <c r="F30" s="3"/>
      <c r="G30" s="162" t="s">
        <v>213</v>
      </c>
      <c r="H30" s="58"/>
      <c r="I30" s="58"/>
      <c r="J30" s="58"/>
      <c r="K30" s="58"/>
      <c r="L30" s="58"/>
      <c r="M30" s="58"/>
      <c r="N30" s="58"/>
      <c r="O30" s="58"/>
      <c r="P30" s="58"/>
      <c r="Q30" s="194"/>
      <c r="R30" s="58"/>
      <c r="S30" s="58"/>
      <c r="T30" s="58"/>
      <c r="U30" s="195"/>
      <c r="V30" s="58"/>
      <c r="W30" s="58"/>
      <c r="X30" s="58"/>
      <c r="Y30" s="58"/>
      <c r="Z30" s="196"/>
      <c r="AA30" s="58"/>
      <c r="AB30" s="58"/>
      <c r="AC30" s="58"/>
      <c r="AD30" s="197"/>
    </row>
    <row r="31" ht="19.5" hidden="1" customHeight="1">
      <c r="A31" s="68"/>
      <c r="B31" s="6"/>
      <c r="C31" s="7"/>
      <c r="D31" s="7"/>
      <c r="E31" s="7"/>
      <c r="F31" s="8"/>
      <c r="G31" s="68"/>
      <c r="H31" s="58"/>
      <c r="I31" s="58"/>
      <c r="J31" s="58"/>
      <c r="K31" s="58"/>
      <c r="L31" s="58"/>
      <c r="M31" s="58"/>
      <c r="N31" s="58"/>
      <c r="O31" s="58"/>
      <c r="P31" s="58"/>
      <c r="Q31" s="194"/>
      <c r="R31" s="58"/>
      <c r="S31" s="58"/>
      <c r="T31" s="58"/>
      <c r="U31" s="195"/>
      <c r="V31" s="58"/>
      <c r="W31" s="58"/>
      <c r="X31" s="58"/>
      <c r="Y31" s="58"/>
      <c r="Z31" s="196"/>
      <c r="AA31" s="58"/>
      <c r="AB31" s="58"/>
      <c r="AC31" s="58"/>
      <c r="AD31" s="197"/>
    </row>
    <row r="32" ht="19.5" hidden="1" customHeight="1">
      <c r="A32" s="193" t="s">
        <v>214</v>
      </c>
      <c r="B32" s="163"/>
      <c r="C32" s="2"/>
      <c r="D32" s="2"/>
      <c r="E32" s="2"/>
      <c r="F32" s="3"/>
      <c r="G32" s="162" t="s">
        <v>188</v>
      </c>
      <c r="H32" s="198"/>
      <c r="I32" s="198"/>
      <c r="J32" s="198"/>
      <c r="K32" s="198"/>
      <c r="L32" s="198"/>
      <c r="M32" s="58"/>
      <c r="N32" s="58"/>
      <c r="O32" s="58"/>
      <c r="P32" s="58"/>
      <c r="Q32" s="194"/>
      <c r="R32" s="58"/>
      <c r="S32" s="58"/>
      <c r="T32" s="58"/>
      <c r="U32" s="195"/>
      <c r="V32" s="58"/>
      <c r="W32" s="58"/>
      <c r="X32" s="58"/>
      <c r="Y32" s="58"/>
      <c r="Z32" s="196"/>
      <c r="AA32" s="58"/>
      <c r="AB32" s="58"/>
      <c r="AC32" s="58"/>
      <c r="AD32" s="197"/>
    </row>
    <row r="33" ht="19.5" hidden="1" customHeight="1">
      <c r="A33" s="68"/>
      <c r="B33" s="6"/>
      <c r="C33" s="7"/>
      <c r="D33" s="7"/>
      <c r="E33" s="7"/>
      <c r="F33" s="8"/>
      <c r="G33" s="68"/>
      <c r="H33" s="199"/>
      <c r="I33" s="199"/>
      <c r="J33" s="199"/>
      <c r="K33" s="199"/>
      <c r="L33" s="199"/>
      <c r="M33" s="200" t="s">
        <v>21</v>
      </c>
      <c r="N33" s="58"/>
      <c r="O33" s="58"/>
      <c r="P33" s="58"/>
      <c r="Q33" s="194"/>
      <c r="R33" s="58"/>
      <c r="S33" s="58"/>
      <c r="T33" s="58"/>
      <c r="U33" s="195"/>
      <c r="V33" s="58"/>
      <c r="W33" s="58"/>
      <c r="X33" s="58"/>
      <c r="Y33" s="58"/>
      <c r="Z33" s="196"/>
      <c r="AA33" s="58"/>
      <c r="AB33" s="58"/>
      <c r="AC33" s="58"/>
      <c r="AD33" s="197"/>
    </row>
    <row r="34" ht="19.5" hidden="1" customHeight="1">
      <c r="A34" s="164" t="s">
        <v>215</v>
      </c>
      <c r="B34" s="26"/>
      <c r="C34" s="26"/>
      <c r="D34" s="26"/>
      <c r="E34" s="26"/>
      <c r="F34" s="27"/>
      <c r="G34" s="165" t="s">
        <v>216</v>
      </c>
      <c r="H34" s="166"/>
      <c r="I34" s="166"/>
      <c r="J34" s="166"/>
      <c r="K34" s="166"/>
      <c r="L34" s="166"/>
      <c r="M34" s="166"/>
      <c r="N34" s="166"/>
      <c r="O34" s="166"/>
      <c r="P34" s="166"/>
      <c r="Q34" s="194"/>
      <c r="R34" s="166"/>
      <c r="S34" s="166"/>
      <c r="T34" s="166"/>
      <c r="U34" s="201"/>
      <c r="V34" s="166"/>
      <c r="W34" s="166"/>
      <c r="X34" s="166"/>
      <c r="Y34" s="166"/>
      <c r="Z34" s="168"/>
      <c r="AA34" s="166"/>
      <c r="AB34" s="166"/>
      <c r="AC34" s="166"/>
      <c r="AD34" s="166"/>
    </row>
    <row r="35" ht="19.5" hidden="1" customHeight="1">
      <c r="A35" s="202" t="s">
        <v>217</v>
      </c>
      <c r="B35" s="163"/>
      <c r="C35" s="2"/>
      <c r="D35" s="2"/>
      <c r="E35" s="2"/>
      <c r="F35" s="3"/>
      <c r="G35" s="162" t="s">
        <v>213</v>
      </c>
      <c r="H35" s="58"/>
      <c r="I35" s="58"/>
      <c r="J35" s="58"/>
      <c r="K35" s="58"/>
      <c r="L35" s="58"/>
      <c r="M35" s="198"/>
      <c r="N35" s="198"/>
      <c r="O35" s="198"/>
      <c r="P35" s="198"/>
      <c r="Q35" s="194"/>
      <c r="R35" s="198"/>
      <c r="S35" s="198"/>
      <c r="T35" s="58"/>
      <c r="U35" s="195"/>
      <c r="V35" s="58"/>
      <c r="W35" s="58"/>
      <c r="X35" s="58"/>
      <c r="Y35" s="58"/>
      <c r="Z35" s="196"/>
      <c r="AA35" s="58"/>
      <c r="AB35" s="58"/>
      <c r="AC35" s="58"/>
      <c r="AD35" s="162"/>
    </row>
    <row r="36" ht="19.5" hidden="1" customHeight="1">
      <c r="A36" s="68"/>
      <c r="B36" s="6"/>
      <c r="C36" s="7"/>
      <c r="D36" s="7"/>
      <c r="E36" s="7"/>
      <c r="F36" s="8"/>
      <c r="G36" s="68"/>
      <c r="H36" s="58"/>
      <c r="I36" s="58"/>
      <c r="J36" s="58"/>
      <c r="K36" s="58"/>
      <c r="L36" s="58"/>
      <c r="M36" s="199"/>
      <c r="N36" s="199"/>
      <c r="O36" s="199"/>
      <c r="P36" s="199"/>
      <c r="Q36" s="194"/>
      <c r="R36" s="199"/>
      <c r="S36" s="203" t="s">
        <v>126</v>
      </c>
      <c r="T36" s="58"/>
      <c r="U36" s="195"/>
      <c r="V36" s="58"/>
      <c r="W36" s="58"/>
      <c r="X36" s="58"/>
      <c r="Y36" s="58"/>
      <c r="Z36" s="196"/>
      <c r="AA36" s="58"/>
      <c r="AB36" s="58"/>
      <c r="AC36" s="58"/>
      <c r="AD36" s="68"/>
    </row>
    <row r="37" ht="19.5" hidden="1" customHeight="1">
      <c r="A37" s="202" t="s">
        <v>218</v>
      </c>
      <c r="B37" s="163"/>
      <c r="C37" s="2"/>
      <c r="D37" s="2"/>
      <c r="E37" s="2"/>
      <c r="F37" s="3"/>
      <c r="G37" s="162" t="s">
        <v>213</v>
      </c>
      <c r="H37" s="58"/>
      <c r="I37" s="58"/>
      <c r="J37" s="58"/>
      <c r="K37" s="58"/>
      <c r="L37" s="58"/>
      <c r="M37" s="198"/>
      <c r="N37" s="198"/>
      <c r="O37" s="198"/>
      <c r="P37" s="198"/>
      <c r="Q37" s="194"/>
      <c r="R37" s="198"/>
      <c r="S37" s="58"/>
      <c r="T37" s="58"/>
      <c r="U37" s="195"/>
      <c r="V37" s="58"/>
      <c r="W37" s="58"/>
      <c r="X37" s="58"/>
      <c r="Y37" s="58"/>
      <c r="Z37" s="196"/>
      <c r="AA37" s="58"/>
      <c r="AB37" s="58"/>
      <c r="AC37" s="58"/>
      <c r="AD37" s="162"/>
    </row>
    <row r="38" ht="19.5" hidden="1" customHeight="1">
      <c r="A38" s="68"/>
      <c r="B38" s="6"/>
      <c r="C38" s="7"/>
      <c r="D38" s="7"/>
      <c r="E38" s="7"/>
      <c r="F38" s="8"/>
      <c r="G38" s="68"/>
      <c r="H38" s="58"/>
      <c r="I38" s="58"/>
      <c r="J38" s="58"/>
      <c r="K38" s="58"/>
      <c r="L38" s="58"/>
      <c r="M38" s="199"/>
      <c r="N38" s="199"/>
      <c r="O38" s="199"/>
      <c r="P38" s="199"/>
      <c r="Q38" s="194"/>
      <c r="R38" s="199"/>
      <c r="S38" s="204" t="s">
        <v>126</v>
      </c>
      <c r="T38" s="58"/>
      <c r="U38" s="195"/>
      <c r="V38" s="58"/>
      <c r="W38" s="58"/>
      <c r="X38" s="58"/>
      <c r="Y38" s="58"/>
      <c r="Z38" s="196"/>
      <c r="AA38" s="58"/>
      <c r="AB38" s="58"/>
      <c r="AC38" s="58"/>
      <c r="AD38" s="68"/>
    </row>
    <row r="39" ht="19.5" hidden="1" customHeight="1">
      <c r="A39" s="202" t="s">
        <v>219</v>
      </c>
      <c r="B39" s="163"/>
      <c r="C39" s="2"/>
      <c r="D39" s="2"/>
      <c r="E39" s="2"/>
      <c r="F39" s="3"/>
      <c r="G39" s="162" t="s">
        <v>220</v>
      </c>
      <c r="H39" s="58"/>
      <c r="I39" s="58"/>
      <c r="J39" s="58"/>
      <c r="K39" s="58"/>
      <c r="L39" s="58"/>
      <c r="M39" s="198"/>
      <c r="N39" s="198"/>
      <c r="O39" s="198"/>
      <c r="P39" s="198"/>
      <c r="Q39" s="194"/>
      <c r="R39" s="198"/>
      <c r="S39" s="198"/>
      <c r="T39" s="198"/>
      <c r="U39" s="195"/>
      <c r="V39" s="58"/>
      <c r="W39" s="58"/>
      <c r="X39" s="58"/>
      <c r="Y39" s="58"/>
      <c r="Z39" s="196"/>
      <c r="AA39" s="58"/>
      <c r="AB39" s="58"/>
      <c r="AC39" s="58"/>
      <c r="AD39" s="162"/>
    </row>
    <row r="40" ht="19.5" hidden="1" customHeight="1">
      <c r="A40" s="68"/>
      <c r="B40" s="6"/>
      <c r="C40" s="7"/>
      <c r="D40" s="7"/>
      <c r="E40" s="7"/>
      <c r="F40" s="8"/>
      <c r="G40" s="68"/>
      <c r="H40" s="58"/>
      <c r="I40" s="58"/>
      <c r="J40" s="58"/>
      <c r="K40" s="58"/>
      <c r="L40" s="58"/>
      <c r="M40" s="199"/>
      <c r="N40" s="199"/>
      <c r="O40" s="199"/>
      <c r="P40" s="199"/>
      <c r="Q40" s="194"/>
      <c r="R40" s="199"/>
      <c r="S40" s="203" t="s">
        <v>126</v>
      </c>
      <c r="T40" s="58"/>
      <c r="U40" s="195"/>
      <c r="V40" s="58"/>
      <c r="W40" s="58"/>
      <c r="X40" s="58"/>
      <c r="Y40" s="58"/>
      <c r="Z40" s="196"/>
      <c r="AA40" s="58"/>
      <c r="AB40" s="58"/>
      <c r="AC40" s="58"/>
      <c r="AD40" s="68"/>
    </row>
    <row r="41" ht="19.5" hidden="1" customHeight="1">
      <c r="A41" s="205" t="s">
        <v>221</v>
      </c>
      <c r="B41" s="163"/>
      <c r="C41" s="2"/>
      <c r="D41" s="2"/>
      <c r="E41" s="2"/>
      <c r="F41" s="3"/>
      <c r="G41" s="162" t="s">
        <v>222</v>
      </c>
      <c r="H41" s="58"/>
      <c r="I41" s="58"/>
      <c r="J41" s="58"/>
      <c r="K41" s="58"/>
      <c r="L41" s="58"/>
      <c r="M41" s="58"/>
      <c r="N41" s="58"/>
      <c r="O41" s="58"/>
      <c r="P41" s="58"/>
      <c r="Q41" s="194"/>
      <c r="R41" s="58"/>
      <c r="S41" s="58"/>
      <c r="T41" s="58"/>
      <c r="U41" s="195"/>
      <c r="V41" s="58"/>
      <c r="W41" s="58"/>
      <c r="X41" s="58"/>
      <c r="Y41" s="58"/>
      <c r="Z41" s="196"/>
      <c r="AA41" s="58"/>
      <c r="AB41" s="58"/>
      <c r="AC41" s="58"/>
      <c r="AD41" s="162"/>
    </row>
    <row r="42" ht="19.5" hidden="1" customHeight="1">
      <c r="A42" s="68"/>
      <c r="B42" s="6"/>
      <c r="C42" s="7"/>
      <c r="D42" s="7"/>
      <c r="E42" s="7"/>
      <c r="F42" s="8"/>
      <c r="G42" s="68"/>
      <c r="H42" s="58"/>
      <c r="I42" s="58"/>
      <c r="J42" s="58"/>
      <c r="K42" s="58"/>
      <c r="L42" s="58"/>
      <c r="M42" s="58"/>
      <c r="N42" s="58"/>
      <c r="O42" s="58"/>
      <c r="P42" s="58"/>
      <c r="Q42" s="194"/>
      <c r="R42" s="58"/>
      <c r="S42" s="58"/>
      <c r="T42" s="58"/>
      <c r="U42" s="195"/>
      <c r="V42" s="58"/>
      <c r="W42" s="58"/>
      <c r="X42" s="58"/>
      <c r="Y42" s="58"/>
      <c r="Z42" s="196"/>
      <c r="AA42" s="58"/>
      <c r="AB42" s="58"/>
      <c r="AC42" s="58"/>
      <c r="AD42" s="68"/>
    </row>
    <row r="43" ht="19.5" hidden="1" customHeight="1">
      <c r="A43" s="202" t="s">
        <v>223</v>
      </c>
      <c r="B43" s="163"/>
      <c r="C43" s="2"/>
      <c r="D43" s="2"/>
      <c r="E43" s="2"/>
      <c r="F43" s="3"/>
      <c r="G43" s="162" t="s">
        <v>191</v>
      </c>
      <c r="H43" s="58"/>
      <c r="I43" s="58"/>
      <c r="J43" s="58"/>
      <c r="K43" s="58"/>
      <c r="L43" s="58"/>
      <c r="M43" s="58"/>
      <c r="N43" s="58"/>
      <c r="O43" s="58"/>
      <c r="P43" s="198"/>
      <c r="Q43" s="194"/>
      <c r="R43" s="198"/>
      <c r="S43" s="58"/>
      <c r="T43" s="58"/>
      <c r="U43" s="195"/>
      <c r="V43" s="58"/>
      <c r="W43" s="58"/>
      <c r="X43" s="58"/>
      <c r="Y43" s="58"/>
      <c r="Z43" s="196"/>
      <c r="AA43" s="58"/>
      <c r="AB43" s="58"/>
      <c r="AC43" s="58"/>
      <c r="AD43" s="162"/>
    </row>
    <row r="44" ht="19.5" hidden="1" customHeight="1">
      <c r="A44" s="68"/>
      <c r="B44" s="6"/>
      <c r="C44" s="7"/>
      <c r="D44" s="7"/>
      <c r="E44" s="7"/>
      <c r="F44" s="8"/>
      <c r="G44" s="68"/>
      <c r="H44" s="58"/>
      <c r="I44" s="58"/>
      <c r="J44" s="58"/>
      <c r="K44" s="58"/>
      <c r="L44" s="58"/>
      <c r="M44" s="58"/>
      <c r="N44" s="58"/>
      <c r="O44" s="58"/>
      <c r="P44" s="199"/>
      <c r="Q44" s="194"/>
      <c r="R44" s="126" t="s">
        <v>21</v>
      </c>
      <c r="S44" s="58"/>
      <c r="T44" s="58"/>
      <c r="U44" s="195"/>
      <c r="V44" s="58"/>
      <c r="W44" s="58"/>
      <c r="X44" s="58"/>
      <c r="Y44" s="58"/>
      <c r="Z44" s="196"/>
      <c r="AA44" s="58"/>
      <c r="AB44" s="58"/>
      <c r="AC44" s="58"/>
      <c r="AD44" s="68"/>
    </row>
    <row r="45" ht="19.5" hidden="1" customHeight="1">
      <c r="A45" s="202" t="s">
        <v>224</v>
      </c>
      <c r="B45" s="163"/>
      <c r="C45" s="2"/>
      <c r="D45" s="2"/>
      <c r="E45" s="2"/>
      <c r="F45" s="3"/>
      <c r="G45" s="162" t="s">
        <v>225</v>
      </c>
      <c r="H45" s="58"/>
      <c r="I45" s="58"/>
      <c r="J45" s="58"/>
      <c r="K45" s="58"/>
      <c r="L45" s="58"/>
      <c r="M45" s="198"/>
      <c r="N45" s="198"/>
      <c r="O45" s="198"/>
      <c r="P45" s="198"/>
      <c r="Q45" s="194"/>
      <c r="R45" s="58"/>
      <c r="S45" s="58"/>
      <c r="T45" s="58"/>
      <c r="U45" s="195"/>
      <c r="V45" s="58"/>
      <c r="W45" s="58"/>
      <c r="X45" s="58"/>
      <c r="Y45" s="58"/>
      <c r="Z45" s="196"/>
      <c r="AA45" s="58"/>
      <c r="AB45" s="58"/>
      <c r="AC45" s="58"/>
      <c r="AD45" s="162"/>
    </row>
    <row r="46" ht="19.5" hidden="1" customHeight="1">
      <c r="A46" s="68"/>
      <c r="B46" s="6"/>
      <c r="C46" s="7"/>
      <c r="D46" s="7"/>
      <c r="E46" s="7"/>
      <c r="F46" s="8"/>
      <c r="G46" s="68"/>
      <c r="H46" s="58"/>
      <c r="I46" s="58"/>
      <c r="J46" s="58"/>
      <c r="K46" s="58"/>
      <c r="L46" s="58"/>
      <c r="M46" s="199"/>
      <c r="N46" s="199"/>
      <c r="O46" s="199"/>
      <c r="P46" s="199"/>
      <c r="Q46" s="194"/>
      <c r="R46" s="58"/>
      <c r="S46" s="58"/>
      <c r="T46" s="58"/>
      <c r="U46" s="195"/>
      <c r="V46" s="58"/>
      <c r="W46" s="58"/>
      <c r="X46" s="58"/>
      <c r="Y46" s="58"/>
      <c r="Z46" s="196"/>
      <c r="AA46" s="58"/>
      <c r="AB46" s="58"/>
      <c r="AC46" s="58"/>
      <c r="AD46" s="68"/>
    </row>
    <row r="47" ht="19.5" hidden="1" customHeight="1">
      <c r="A47" s="202" t="s">
        <v>226</v>
      </c>
      <c r="B47" s="163"/>
      <c r="C47" s="2"/>
      <c r="D47" s="2"/>
      <c r="E47" s="2"/>
      <c r="F47" s="3"/>
      <c r="G47" s="162" t="s">
        <v>227</v>
      </c>
      <c r="H47" s="58"/>
      <c r="I47" s="58"/>
      <c r="J47" s="58"/>
      <c r="K47" s="58"/>
      <c r="L47" s="58"/>
      <c r="M47" s="198"/>
      <c r="N47" s="198"/>
      <c r="O47" s="198"/>
      <c r="P47" s="198"/>
      <c r="Q47" s="194"/>
      <c r="R47" s="198"/>
      <c r="S47" s="198"/>
      <c r="T47" s="198"/>
      <c r="U47" s="195"/>
      <c r="V47" s="196"/>
      <c r="W47" s="196"/>
      <c r="X47" s="196"/>
      <c r="Y47" s="196"/>
      <c r="Z47" s="196"/>
      <c r="AA47" s="58"/>
      <c r="AB47" s="58"/>
      <c r="AC47" s="58"/>
      <c r="AD47" s="162"/>
    </row>
    <row r="48" ht="19.5" hidden="1" customHeight="1">
      <c r="A48" s="68"/>
      <c r="B48" s="6"/>
      <c r="C48" s="7"/>
      <c r="D48" s="7"/>
      <c r="E48" s="7"/>
      <c r="F48" s="8"/>
      <c r="G48" s="68"/>
      <c r="H48" s="58"/>
      <c r="I48" s="58"/>
      <c r="J48" s="58"/>
      <c r="K48" s="58"/>
      <c r="L48" s="58"/>
      <c r="M48" s="58"/>
      <c r="N48" s="58"/>
      <c r="O48" s="58"/>
      <c r="P48" s="58"/>
      <c r="Q48" s="194"/>
      <c r="R48" s="199"/>
      <c r="S48" s="203" t="s">
        <v>126</v>
      </c>
      <c r="T48" s="206"/>
      <c r="U48" s="195"/>
      <c r="V48" s="58"/>
      <c r="W48" s="58"/>
      <c r="X48" s="58"/>
      <c r="Y48" s="58"/>
      <c r="Z48" s="196"/>
      <c r="AA48" s="58"/>
      <c r="AB48" s="58"/>
      <c r="AC48" s="58"/>
      <c r="AD48" s="68"/>
    </row>
    <row r="49" ht="19.5" hidden="1" customHeight="1">
      <c r="A49" s="202" t="s">
        <v>228</v>
      </c>
      <c r="B49" s="163"/>
      <c r="C49" s="2"/>
      <c r="D49" s="2"/>
      <c r="E49" s="2"/>
      <c r="F49" s="3"/>
      <c r="G49" s="162" t="s">
        <v>213</v>
      </c>
      <c r="H49" s="58"/>
      <c r="I49" s="58"/>
      <c r="J49" s="58"/>
      <c r="K49" s="58"/>
      <c r="L49" s="58"/>
      <c r="M49" s="58"/>
      <c r="N49" s="58"/>
      <c r="O49" s="58"/>
      <c r="P49" s="58"/>
      <c r="Q49" s="194"/>
      <c r="R49" s="58"/>
      <c r="S49" s="198"/>
      <c r="T49" s="58"/>
      <c r="U49" s="195"/>
      <c r="V49" s="58"/>
      <c r="W49" s="58"/>
      <c r="X49" s="58"/>
      <c r="Y49" s="58"/>
      <c r="Z49" s="196"/>
      <c r="AA49" s="58"/>
      <c r="AB49" s="58"/>
      <c r="AC49" s="58"/>
      <c r="AD49" s="162"/>
    </row>
    <row r="50" ht="19.5" hidden="1" customHeight="1">
      <c r="A50" s="68"/>
      <c r="B50" s="6"/>
      <c r="C50" s="7"/>
      <c r="D50" s="7"/>
      <c r="E50" s="7"/>
      <c r="F50" s="8"/>
      <c r="G50" s="68"/>
      <c r="H50" s="58"/>
      <c r="I50" s="58"/>
      <c r="J50" s="58"/>
      <c r="K50" s="58"/>
      <c r="L50" s="58"/>
      <c r="M50" s="58"/>
      <c r="N50" s="58"/>
      <c r="O50" s="58"/>
      <c r="P50" s="58"/>
      <c r="Q50" s="194"/>
      <c r="R50" s="58"/>
      <c r="S50" s="200" t="s">
        <v>229</v>
      </c>
      <c r="T50" s="58"/>
      <c r="U50" s="195"/>
      <c r="V50" s="58"/>
      <c r="W50" s="58"/>
      <c r="X50" s="58"/>
      <c r="Y50" s="58"/>
      <c r="Z50" s="196"/>
      <c r="AA50" s="58"/>
      <c r="AB50" s="58"/>
      <c r="AC50" s="58"/>
      <c r="AD50" s="68"/>
    </row>
    <row r="51" ht="19.5" hidden="1" customHeight="1">
      <c r="A51" s="164" t="s">
        <v>230</v>
      </c>
      <c r="B51" s="26"/>
      <c r="C51" s="26"/>
      <c r="D51" s="26"/>
      <c r="E51" s="26"/>
      <c r="F51" s="27"/>
      <c r="G51" s="165" t="s">
        <v>220</v>
      </c>
      <c r="H51" s="166"/>
      <c r="I51" s="166"/>
      <c r="J51" s="166"/>
      <c r="K51" s="166"/>
      <c r="L51" s="166"/>
      <c r="M51" s="166"/>
      <c r="N51" s="166"/>
      <c r="O51" s="166"/>
      <c r="P51" s="166"/>
      <c r="Q51" s="194"/>
      <c r="R51" s="166"/>
      <c r="S51" s="166"/>
      <c r="T51" s="166"/>
      <c r="U51" s="201"/>
      <c r="V51" s="166"/>
      <c r="W51" s="166"/>
      <c r="X51" s="166"/>
      <c r="Y51" s="166"/>
      <c r="Z51" s="168"/>
      <c r="AA51" s="166"/>
      <c r="AB51" s="166"/>
      <c r="AC51" s="166"/>
      <c r="AD51" s="166"/>
    </row>
    <row r="52" ht="19.5" hidden="1" customHeight="1">
      <c r="A52" s="202" t="s">
        <v>231</v>
      </c>
      <c r="B52" s="163"/>
      <c r="C52" s="2"/>
      <c r="D52" s="2"/>
      <c r="E52" s="2"/>
      <c r="F52" s="3"/>
      <c r="G52" s="162" t="s">
        <v>220</v>
      </c>
      <c r="H52" s="58"/>
      <c r="I52" s="58"/>
      <c r="J52" s="58"/>
      <c r="K52" s="58"/>
      <c r="L52" s="58"/>
      <c r="M52" s="58"/>
      <c r="N52" s="58"/>
      <c r="O52" s="58"/>
      <c r="P52" s="58"/>
      <c r="Q52" s="194"/>
      <c r="R52" s="198"/>
      <c r="S52" s="198"/>
      <c r="T52" s="198"/>
      <c r="U52" s="195"/>
      <c r="V52" s="58"/>
      <c r="W52" s="58"/>
      <c r="X52" s="58"/>
      <c r="Y52" s="58"/>
      <c r="Z52" s="58"/>
      <c r="AA52" s="58"/>
      <c r="AB52" s="58"/>
      <c r="AC52" s="58"/>
      <c r="AD52" s="162"/>
    </row>
    <row r="53" ht="19.5" hidden="1" customHeight="1">
      <c r="A53" s="68"/>
      <c r="B53" s="6"/>
      <c r="C53" s="7"/>
      <c r="D53" s="7"/>
      <c r="E53" s="7"/>
      <c r="F53" s="8"/>
      <c r="G53" s="68"/>
      <c r="H53" s="58"/>
      <c r="I53" s="58"/>
      <c r="J53" s="58"/>
      <c r="K53" s="58"/>
      <c r="L53" s="58"/>
      <c r="M53" s="58"/>
      <c r="N53" s="58"/>
      <c r="O53" s="58"/>
      <c r="P53" s="58"/>
      <c r="Q53" s="194"/>
      <c r="R53" s="58"/>
      <c r="S53" s="203" t="s">
        <v>126</v>
      </c>
      <c r="T53" s="58"/>
      <c r="U53" s="195"/>
      <c r="V53" s="58"/>
      <c r="W53" s="58"/>
      <c r="X53" s="58"/>
      <c r="Y53" s="58"/>
      <c r="Z53" s="58"/>
      <c r="AA53" s="58"/>
      <c r="AB53" s="58"/>
      <c r="AC53" s="58"/>
      <c r="AD53" s="68"/>
    </row>
    <row r="54" ht="19.5" hidden="1" customHeight="1">
      <c r="A54" s="202" t="s">
        <v>232</v>
      </c>
      <c r="B54" s="163"/>
      <c r="C54" s="2"/>
      <c r="D54" s="2"/>
      <c r="E54" s="2"/>
      <c r="F54" s="3"/>
      <c r="G54" s="162" t="s">
        <v>213</v>
      </c>
      <c r="H54" s="58"/>
      <c r="I54" s="58"/>
      <c r="J54" s="58"/>
      <c r="K54" s="58"/>
      <c r="L54" s="58"/>
      <c r="M54" s="58"/>
      <c r="N54" s="58"/>
      <c r="O54" s="58"/>
      <c r="P54" s="58"/>
      <c r="Q54" s="194"/>
      <c r="R54" s="58"/>
      <c r="S54" s="198"/>
      <c r="T54" s="198"/>
      <c r="U54" s="195"/>
      <c r="V54" s="58"/>
      <c r="W54" s="58"/>
      <c r="X54" s="58"/>
      <c r="Y54" s="58"/>
      <c r="Z54" s="58"/>
      <c r="AA54" s="58"/>
      <c r="AB54" s="58"/>
      <c r="AC54" s="58"/>
      <c r="AD54" s="162"/>
    </row>
    <row r="55" ht="19.5" hidden="1" customHeight="1">
      <c r="A55" s="68"/>
      <c r="B55" s="6"/>
      <c r="C55" s="7"/>
      <c r="D55" s="7"/>
      <c r="E55" s="7"/>
      <c r="F55" s="8"/>
      <c r="G55" s="68"/>
      <c r="H55" s="58"/>
      <c r="I55" s="58"/>
      <c r="J55" s="58"/>
      <c r="K55" s="58"/>
      <c r="L55" s="58"/>
      <c r="M55" s="58"/>
      <c r="N55" s="58"/>
      <c r="O55" s="58"/>
      <c r="P55" s="58"/>
      <c r="Q55" s="194"/>
      <c r="R55" s="58"/>
      <c r="S55" s="203" t="s">
        <v>126</v>
      </c>
      <c r="T55" s="58"/>
      <c r="U55" s="195"/>
      <c r="V55" s="58"/>
      <c r="W55" s="58"/>
      <c r="X55" s="58"/>
      <c r="Y55" s="58"/>
      <c r="Z55" s="58"/>
      <c r="AA55" s="58"/>
      <c r="AB55" s="58"/>
      <c r="AC55" s="58"/>
      <c r="AD55" s="68"/>
    </row>
    <row r="56" ht="19.5" hidden="1" customHeight="1">
      <c r="A56" s="202" t="s">
        <v>233</v>
      </c>
      <c r="B56" s="163"/>
      <c r="C56" s="2"/>
      <c r="D56" s="2"/>
      <c r="E56" s="2"/>
      <c r="F56" s="3"/>
      <c r="G56" s="162" t="s">
        <v>188</v>
      </c>
      <c r="H56" s="58"/>
      <c r="I56" s="58"/>
      <c r="J56" s="58"/>
      <c r="K56" s="58"/>
      <c r="L56" s="58"/>
      <c r="M56" s="58"/>
      <c r="N56" s="58"/>
      <c r="O56" s="58"/>
      <c r="P56" s="58"/>
      <c r="Q56" s="194"/>
      <c r="R56" s="198"/>
      <c r="S56" s="198"/>
      <c r="T56" s="198"/>
      <c r="U56" s="195"/>
      <c r="V56" s="58"/>
      <c r="W56" s="58"/>
      <c r="X56" s="58"/>
      <c r="Y56" s="58"/>
      <c r="Z56" s="58"/>
      <c r="AA56" s="58"/>
      <c r="AB56" s="58"/>
      <c r="AC56" s="58"/>
      <c r="AD56" s="162"/>
    </row>
    <row r="57" ht="19.5" hidden="1" customHeight="1">
      <c r="A57" s="68"/>
      <c r="B57" s="6"/>
      <c r="C57" s="7"/>
      <c r="D57" s="7"/>
      <c r="E57" s="7"/>
      <c r="F57" s="8"/>
      <c r="G57" s="68"/>
      <c r="H57" s="58"/>
      <c r="I57" s="58"/>
      <c r="J57" s="58"/>
      <c r="K57" s="58"/>
      <c r="L57" s="58"/>
      <c r="M57" s="58"/>
      <c r="N57" s="58"/>
      <c r="O57" s="58"/>
      <c r="P57" s="58"/>
      <c r="Q57" s="194"/>
      <c r="R57" s="199"/>
      <c r="S57" s="203" t="s">
        <v>126</v>
      </c>
      <c r="T57" s="58"/>
      <c r="U57" s="195"/>
      <c r="V57" s="58"/>
      <c r="W57" s="58"/>
      <c r="X57" s="58"/>
      <c r="Y57" s="58"/>
      <c r="Z57" s="58"/>
      <c r="AA57" s="58"/>
      <c r="AB57" s="58"/>
      <c r="AC57" s="58"/>
      <c r="AD57" s="68"/>
    </row>
    <row r="58" ht="19.5" hidden="1" customHeight="1">
      <c r="A58" s="202" t="s">
        <v>234</v>
      </c>
      <c r="B58" s="163"/>
      <c r="C58" s="2"/>
      <c r="D58" s="2"/>
      <c r="E58" s="2"/>
      <c r="F58" s="3"/>
      <c r="G58" s="162" t="s">
        <v>213</v>
      </c>
      <c r="H58" s="58"/>
      <c r="I58" s="58"/>
      <c r="J58" s="58"/>
      <c r="K58" s="58"/>
      <c r="L58" s="58"/>
      <c r="M58" s="58"/>
      <c r="N58" s="58"/>
      <c r="O58" s="58"/>
      <c r="P58" s="58"/>
      <c r="Q58" s="194"/>
      <c r="R58" s="58"/>
      <c r="S58" s="58"/>
      <c r="T58" s="58"/>
      <c r="U58" s="195"/>
      <c r="V58" s="58"/>
      <c r="W58" s="58"/>
      <c r="X58" s="58"/>
      <c r="Y58" s="58"/>
      <c r="Z58" s="58"/>
      <c r="AA58" s="58"/>
      <c r="AB58" s="58"/>
      <c r="AC58" s="58"/>
      <c r="AD58" s="162"/>
    </row>
    <row r="59" ht="19.5" hidden="1" customHeight="1">
      <c r="A59" s="68"/>
      <c r="B59" s="6"/>
      <c r="C59" s="7"/>
      <c r="D59" s="7"/>
      <c r="E59" s="7"/>
      <c r="F59" s="8"/>
      <c r="G59" s="68"/>
      <c r="H59" s="58"/>
      <c r="I59" s="58"/>
      <c r="J59" s="58"/>
      <c r="K59" s="58"/>
      <c r="L59" s="58"/>
      <c r="M59" s="58"/>
      <c r="N59" s="58"/>
      <c r="O59" s="58"/>
      <c r="P59" s="58"/>
      <c r="Q59" s="194"/>
      <c r="R59" s="58"/>
      <c r="S59" s="58"/>
      <c r="T59" s="58"/>
      <c r="U59" s="195"/>
      <c r="V59" s="58"/>
      <c r="W59" s="58"/>
      <c r="X59" s="58"/>
      <c r="Y59" s="58"/>
      <c r="Z59" s="196"/>
      <c r="AA59" s="58"/>
      <c r="AB59" s="58"/>
      <c r="AC59" s="58"/>
      <c r="AD59" s="68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</row>
  </sheetData>
  <mergeCells count="105">
    <mergeCell ref="H3:J3"/>
    <mergeCell ref="K3:N3"/>
    <mergeCell ref="O3:R3"/>
    <mergeCell ref="S3:W3"/>
    <mergeCell ref="X3:AA3"/>
    <mergeCell ref="AB3:AC3"/>
    <mergeCell ref="AA16:AD16"/>
    <mergeCell ref="AD17:AD18"/>
    <mergeCell ref="A1:F1"/>
    <mergeCell ref="G1:X1"/>
    <mergeCell ref="Y1:Z1"/>
    <mergeCell ref="AA1:AD1"/>
    <mergeCell ref="B2:F2"/>
    <mergeCell ref="H2:K2"/>
    <mergeCell ref="A3:A4"/>
    <mergeCell ref="AD3:AD4"/>
    <mergeCell ref="B3:F4"/>
    <mergeCell ref="G3:G4"/>
    <mergeCell ref="A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A18"/>
    <mergeCell ref="B17:F18"/>
    <mergeCell ref="G17:G18"/>
    <mergeCell ref="A19:F19"/>
    <mergeCell ref="A20:A21"/>
    <mergeCell ref="B20:F21"/>
    <mergeCell ref="G20:G21"/>
    <mergeCell ref="B32:F33"/>
    <mergeCell ref="G32:G33"/>
    <mergeCell ref="B41:F42"/>
    <mergeCell ref="G41:G42"/>
    <mergeCell ref="B43:F44"/>
    <mergeCell ref="G43:G44"/>
    <mergeCell ref="G45:G46"/>
    <mergeCell ref="B45:F46"/>
    <mergeCell ref="B47:F48"/>
    <mergeCell ref="G47:G48"/>
    <mergeCell ref="A49:A50"/>
    <mergeCell ref="B49:F50"/>
    <mergeCell ref="G49:G50"/>
    <mergeCell ref="A51:F51"/>
    <mergeCell ref="B56:F57"/>
    <mergeCell ref="G56:G57"/>
    <mergeCell ref="A58:A59"/>
    <mergeCell ref="B58:F59"/>
    <mergeCell ref="G58:G59"/>
    <mergeCell ref="A52:A53"/>
    <mergeCell ref="B52:F53"/>
    <mergeCell ref="G52:G53"/>
    <mergeCell ref="A54:A55"/>
    <mergeCell ref="B54:F55"/>
    <mergeCell ref="G54:G55"/>
    <mergeCell ref="A56:A57"/>
    <mergeCell ref="B26:F27"/>
    <mergeCell ref="G26:G27"/>
    <mergeCell ref="A22:A23"/>
    <mergeCell ref="B22:F23"/>
    <mergeCell ref="G22:G23"/>
    <mergeCell ref="A24:A25"/>
    <mergeCell ref="B24:F25"/>
    <mergeCell ref="G24:G25"/>
    <mergeCell ref="A26:A27"/>
    <mergeCell ref="A32:A33"/>
    <mergeCell ref="A35:A36"/>
    <mergeCell ref="A37:A38"/>
    <mergeCell ref="A39:A40"/>
    <mergeCell ref="A41:A42"/>
    <mergeCell ref="A43:A44"/>
    <mergeCell ref="A45:A46"/>
    <mergeCell ref="A47:A48"/>
    <mergeCell ref="B35:F36"/>
    <mergeCell ref="G35:G36"/>
    <mergeCell ref="AD35:AD36"/>
    <mergeCell ref="B37:F38"/>
    <mergeCell ref="G37:G38"/>
    <mergeCell ref="AD37:AD38"/>
    <mergeCell ref="A28:A29"/>
    <mergeCell ref="B28:F29"/>
    <mergeCell ref="G28:G29"/>
    <mergeCell ref="A30:A31"/>
    <mergeCell ref="B30:F31"/>
    <mergeCell ref="G30:G31"/>
    <mergeCell ref="A34:F34"/>
    <mergeCell ref="AD49:AD50"/>
    <mergeCell ref="AD52:AD53"/>
    <mergeCell ref="AD54:AD55"/>
    <mergeCell ref="AD56:AD57"/>
    <mergeCell ref="AD58:AD59"/>
    <mergeCell ref="B39:F40"/>
    <mergeCell ref="G39:G40"/>
    <mergeCell ref="AD39:AD40"/>
    <mergeCell ref="AD41:AD42"/>
    <mergeCell ref="AD43:AD44"/>
    <mergeCell ref="AD45:AD46"/>
    <mergeCell ref="AD47:AD48"/>
  </mergeCells>
  <printOptions horizontalCentered="1"/>
  <pageMargins bottom="0.3937007874015748" footer="0.0" header="0.0" left="0.3937007874015748" right="0.3937007874015748" top="0.3937007874015748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3.0"/>
    <col customWidth="1" min="2" max="2" width="42.22"/>
    <col customWidth="1" min="3" max="4" width="6.78"/>
    <col customWidth="1" min="5" max="5" width="11.89"/>
    <col customWidth="1" min="6" max="6" width="46.22"/>
    <col customWidth="1" min="7" max="7" width="15.33"/>
    <col customWidth="1" min="8" max="8" width="7.0"/>
    <col customWidth="1" min="9" max="27" width="26.44"/>
  </cols>
  <sheetData>
    <row r="1" ht="30.0" customHeight="1">
      <c r="A1" s="207"/>
      <c r="B1" s="208" t="s">
        <v>235</v>
      </c>
      <c r="C1" s="209"/>
      <c r="D1" s="209"/>
      <c r="E1" s="207"/>
      <c r="F1" s="207"/>
      <c r="G1" s="210" t="s">
        <v>236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</row>
    <row r="2" ht="33.75" customHeight="1">
      <c r="A2" s="211"/>
      <c r="B2" s="211"/>
      <c r="C2" s="212"/>
      <c r="D2" s="212"/>
      <c r="E2" s="213" t="s">
        <v>237</v>
      </c>
      <c r="F2" s="214">
        <f>SUM(E4:E20)</f>
        <v>3180720</v>
      </c>
      <c r="G2" s="215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</row>
    <row r="3" ht="15.75" customHeight="1">
      <c r="A3" s="216" t="s">
        <v>16</v>
      </c>
      <c r="B3" s="217"/>
      <c r="C3" s="218" t="s">
        <v>238</v>
      </c>
      <c r="D3" s="218" t="s">
        <v>239</v>
      </c>
      <c r="E3" s="219" t="s">
        <v>240</v>
      </c>
      <c r="F3" s="220" t="s">
        <v>241</v>
      </c>
      <c r="G3" s="221" t="s">
        <v>242</v>
      </c>
      <c r="H3" s="222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</row>
    <row r="4" ht="48.75" customHeight="1">
      <c r="A4" s="223" t="s">
        <v>243</v>
      </c>
      <c r="B4" s="224" t="s">
        <v>244</v>
      </c>
      <c r="C4" s="225">
        <v>1.0</v>
      </c>
      <c r="D4" s="225" t="s">
        <v>245</v>
      </c>
      <c r="E4" s="226">
        <v>1800000.0</v>
      </c>
      <c r="F4" s="227" t="s">
        <v>246</v>
      </c>
      <c r="G4" s="228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</row>
    <row r="5" ht="15.75" customHeight="1">
      <c r="A5" s="108"/>
      <c r="B5" s="229" t="s">
        <v>247</v>
      </c>
      <c r="C5" s="230">
        <v>1.0</v>
      </c>
      <c r="D5" s="230" t="s">
        <v>248</v>
      </c>
      <c r="E5" s="231">
        <v>150000.0</v>
      </c>
      <c r="F5" s="232" t="s">
        <v>249</v>
      </c>
      <c r="G5" s="233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</row>
    <row r="6" ht="15.75" customHeight="1">
      <c r="A6" s="108"/>
      <c r="B6" s="234" t="s">
        <v>250</v>
      </c>
      <c r="C6" s="230">
        <v>1.0</v>
      </c>
      <c r="D6" s="230" t="s">
        <v>251</v>
      </c>
      <c r="E6" s="235">
        <v>12000.0</v>
      </c>
      <c r="F6" s="236" t="s">
        <v>252</v>
      </c>
      <c r="G6" s="237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</row>
    <row r="7" ht="15.75" customHeight="1">
      <c r="A7" s="67"/>
      <c r="B7" s="234" t="s">
        <v>253</v>
      </c>
      <c r="C7" s="230">
        <v>1.0</v>
      </c>
      <c r="D7" s="230" t="s">
        <v>248</v>
      </c>
      <c r="E7" s="235">
        <v>1290.0</v>
      </c>
      <c r="F7" s="236" t="s">
        <v>254</v>
      </c>
      <c r="G7" s="238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</row>
    <row r="8" ht="15.75" customHeight="1">
      <c r="A8" s="239" t="s">
        <v>255</v>
      </c>
      <c r="B8" s="234" t="s">
        <v>256</v>
      </c>
      <c r="C8" s="230">
        <v>1.0</v>
      </c>
      <c r="D8" s="230" t="s">
        <v>248</v>
      </c>
      <c r="E8" s="235">
        <v>100000.0</v>
      </c>
      <c r="F8" s="236" t="s">
        <v>257</v>
      </c>
      <c r="G8" s="240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</row>
    <row r="9" ht="15.75" customHeight="1">
      <c r="A9" s="241" t="s">
        <v>258</v>
      </c>
      <c r="B9" s="234" t="s">
        <v>259</v>
      </c>
      <c r="C9" s="242">
        <f>9*5*8</f>
        <v>360</v>
      </c>
      <c r="D9" s="242" t="s">
        <v>260</v>
      </c>
      <c r="E9" s="235">
        <f>724*C9</f>
        <v>260640</v>
      </c>
      <c r="F9" s="236" t="s">
        <v>261</v>
      </c>
      <c r="G9" s="240"/>
      <c r="H9" s="243" t="s">
        <v>262</v>
      </c>
      <c r="I9" s="222" t="s">
        <v>263</v>
      </c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</row>
    <row r="10" ht="30.75" customHeight="1">
      <c r="A10" s="244" t="s">
        <v>264</v>
      </c>
      <c r="B10" s="245" t="s">
        <v>264</v>
      </c>
      <c r="C10" s="246">
        <v>4800.0</v>
      </c>
      <c r="D10" s="246" t="s">
        <v>265</v>
      </c>
      <c r="E10" s="247">
        <f>'A表-大日程計畫表(橫展跨部版)'!L31*'A表-附件-預算'!C10</f>
        <v>669600</v>
      </c>
      <c r="F10" s="248" t="s">
        <v>266</v>
      </c>
      <c r="G10" s="249"/>
      <c r="H10" s="211">
        <f>2*10*4*600</f>
        <v>48000</v>
      </c>
      <c r="I10" s="222" t="s">
        <v>267</v>
      </c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</row>
    <row r="11" ht="15.75" customHeight="1">
      <c r="A11" s="250" t="s">
        <v>268</v>
      </c>
      <c r="B11" s="224" t="s">
        <v>151</v>
      </c>
      <c r="C11" s="225">
        <v>2.0</v>
      </c>
      <c r="D11" s="225" t="s">
        <v>269</v>
      </c>
      <c r="E11" s="251">
        <v>7000.0</v>
      </c>
      <c r="F11" s="252" t="s">
        <v>270</v>
      </c>
      <c r="G11" s="253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</row>
    <row r="12" ht="15.75" customHeight="1">
      <c r="A12" s="108"/>
      <c r="B12" s="254" t="s">
        <v>271</v>
      </c>
      <c r="C12" s="230">
        <v>1.0</v>
      </c>
      <c r="D12" s="230" t="s">
        <v>251</v>
      </c>
      <c r="E12" s="255">
        <v>100000.0</v>
      </c>
      <c r="F12" s="256" t="s">
        <v>272</v>
      </c>
      <c r="G12" s="253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</row>
    <row r="13" ht="15.75" customHeight="1">
      <c r="A13" s="108"/>
      <c r="B13" s="229" t="s">
        <v>273</v>
      </c>
      <c r="C13" s="257">
        <v>1.0</v>
      </c>
      <c r="D13" s="230" t="s">
        <v>274</v>
      </c>
      <c r="E13" s="255">
        <v>0.0</v>
      </c>
      <c r="F13" s="258" t="s">
        <v>273</v>
      </c>
      <c r="G13" s="253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</row>
    <row r="14" ht="15.75" customHeight="1">
      <c r="A14" s="108"/>
      <c r="B14" s="229" t="s">
        <v>275</v>
      </c>
      <c r="C14" s="257">
        <v>1.0</v>
      </c>
      <c r="D14" s="230" t="s">
        <v>274</v>
      </c>
      <c r="E14" s="255">
        <v>0.0</v>
      </c>
      <c r="F14" s="258" t="s">
        <v>276</v>
      </c>
      <c r="G14" s="253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</row>
    <row r="15" ht="15.0" customHeight="1">
      <c r="A15" s="108"/>
      <c r="B15" s="229" t="s">
        <v>277</v>
      </c>
      <c r="C15" s="257">
        <v>1.0</v>
      </c>
      <c r="D15" s="230" t="s">
        <v>274</v>
      </c>
      <c r="E15" s="255">
        <v>44600.0</v>
      </c>
      <c r="F15" s="258"/>
      <c r="G15" s="253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</row>
    <row r="16" ht="15.75" customHeight="1">
      <c r="A16" s="108"/>
      <c r="B16" s="229" t="s">
        <v>278</v>
      </c>
      <c r="C16" s="230">
        <v>1.0</v>
      </c>
      <c r="D16" s="230" t="s">
        <v>274</v>
      </c>
      <c r="E16" s="255">
        <v>9400.0</v>
      </c>
      <c r="F16" s="258" t="s">
        <v>279</v>
      </c>
      <c r="G16" s="253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</row>
    <row r="17" ht="15.75" customHeight="1">
      <c r="A17" s="250" t="s">
        <v>280</v>
      </c>
      <c r="B17" s="224" t="s">
        <v>281</v>
      </c>
      <c r="C17" s="225">
        <v>1.0</v>
      </c>
      <c r="D17" s="225" t="s">
        <v>274</v>
      </c>
      <c r="E17" s="251">
        <v>10030.0</v>
      </c>
      <c r="F17" s="252" t="s">
        <v>282</v>
      </c>
      <c r="G17" s="253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</row>
    <row r="18" ht="15.75" customHeight="1">
      <c r="A18" s="108"/>
      <c r="B18" s="229" t="s">
        <v>283</v>
      </c>
      <c r="C18" s="230">
        <v>1.0</v>
      </c>
      <c r="D18" s="230" t="s">
        <v>274</v>
      </c>
      <c r="E18" s="255">
        <v>970.0</v>
      </c>
      <c r="F18" s="258" t="s">
        <v>284</v>
      </c>
      <c r="G18" s="253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  <c r="X18" s="211"/>
      <c r="Y18" s="211"/>
      <c r="Z18" s="211"/>
      <c r="AA18" s="211"/>
    </row>
    <row r="19" ht="15.75" customHeight="1">
      <c r="A19" s="108"/>
      <c r="B19" s="229" t="s">
        <v>285</v>
      </c>
      <c r="C19" s="230">
        <v>1.0</v>
      </c>
      <c r="D19" s="230" t="s">
        <v>274</v>
      </c>
      <c r="E19" s="255">
        <v>10910.0</v>
      </c>
      <c r="F19" s="258" t="s">
        <v>286</v>
      </c>
      <c r="G19" s="253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</row>
    <row r="20" ht="15.75" customHeight="1">
      <c r="A20" s="259"/>
      <c r="B20" s="245" t="s">
        <v>287</v>
      </c>
      <c r="C20" s="260">
        <v>1.0</v>
      </c>
      <c r="D20" s="260" t="s">
        <v>274</v>
      </c>
      <c r="E20" s="261">
        <v>4280.0</v>
      </c>
      <c r="F20" s="262" t="s">
        <v>288</v>
      </c>
      <c r="G20" s="253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</row>
    <row r="21" ht="15.75" customHeight="1">
      <c r="A21" s="211"/>
      <c r="B21" s="5"/>
      <c r="C21" s="212"/>
      <c r="D21" s="212"/>
      <c r="E21" s="211"/>
      <c r="F21" s="243" t="s">
        <v>289</v>
      </c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</row>
    <row r="22" ht="15.75" customHeight="1">
      <c r="A22" s="211"/>
      <c r="B22" s="5"/>
      <c r="C22" s="212"/>
      <c r="D22" s="212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</row>
    <row r="23" ht="15.75" customHeight="1">
      <c r="A23" s="211"/>
      <c r="B23" s="222"/>
      <c r="C23" s="212"/>
      <c r="D23" s="212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</row>
    <row r="24" ht="15.75" customHeight="1">
      <c r="A24" s="211"/>
      <c r="B24" s="211"/>
      <c r="C24" s="212"/>
      <c r="D24" s="212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</row>
    <row r="25" ht="15.75" customHeight="1">
      <c r="A25" s="211"/>
      <c r="B25" s="211"/>
      <c r="C25" s="212"/>
      <c r="D25" s="212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1"/>
      <c r="Z25" s="211"/>
      <c r="AA25" s="211"/>
    </row>
    <row r="26" ht="15.75" customHeight="1">
      <c r="A26" s="211"/>
      <c r="B26" s="211"/>
      <c r="C26" s="212"/>
      <c r="D26" s="212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</row>
    <row r="27" ht="15.75" customHeight="1">
      <c r="A27" s="211"/>
      <c r="B27" s="211"/>
      <c r="C27" s="212"/>
      <c r="D27" s="212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</row>
    <row r="28" ht="15.75" customHeight="1">
      <c r="A28" s="211"/>
      <c r="B28" s="211"/>
      <c r="C28" s="212"/>
      <c r="D28" s="212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</row>
    <row r="29" ht="15.75" customHeight="1">
      <c r="A29" s="211"/>
      <c r="B29" s="211"/>
      <c r="C29" s="212"/>
      <c r="D29" s="212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</row>
    <row r="30" ht="15.75" customHeight="1">
      <c r="A30" s="211"/>
      <c r="B30" s="211"/>
      <c r="C30" s="212"/>
      <c r="D30" s="212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</row>
    <row r="31" ht="15.75" customHeight="1">
      <c r="A31" s="211"/>
      <c r="B31" s="211"/>
      <c r="C31" s="212"/>
      <c r="D31" s="212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  <c r="AA31" s="211"/>
    </row>
    <row r="32" ht="15.75" customHeight="1">
      <c r="A32" s="211"/>
      <c r="B32" s="211"/>
      <c r="C32" s="212"/>
      <c r="D32" s="212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</row>
    <row r="33" ht="15.75" customHeight="1">
      <c r="A33" s="211"/>
      <c r="B33" s="211"/>
      <c r="C33" s="212"/>
      <c r="D33" s="212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</row>
    <row r="34" ht="15.75" customHeight="1">
      <c r="A34" s="211"/>
      <c r="B34" s="211"/>
      <c r="C34" s="212"/>
      <c r="D34" s="212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</row>
    <row r="35" ht="15.75" customHeight="1">
      <c r="A35" s="211"/>
      <c r="B35" s="211"/>
      <c r="C35" s="212"/>
      <c r="D35" s="212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</row>
    <row r="36" ht="15.75" customHeight="1">
      <c r="A36" s="211"/>
      <c r="B36" s="211"/>
      <c r="C36" s="212"/>
      <c r="D36" s="212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</row>
    <row r="37" ht="15.75" customHeight="1">
      <c r="A37" s="211"/>
      <c r="B37" s="211"/>
      <c r="C37" s="212"/>
      <c r="D37" s="212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</row>
    <row r="38" ht="15.75" customHeight="1">
      <c r="A38" s="211"/>
      <c r="B38" s="211"/>
      <c r="C38" s="212"/>
      <c r="D38" s="212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</row>
    <row r="39" ht="15.75" customHeight="1">
      <c r="A39" s="211"/>
      <c r="B39" s="211"/>
      <c r="C39" s="212"/>
      <c r="D39" s="212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</row>
    <row r="40" ht="15.75" customHeight="1">
      <c r="A40" s="211"/>
      <c r="B40" s="211"/>
      <c r="C40" s="212"/>
      <c r="D40" s="212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</row>
    <row r="41" ht="15.75" customHeight="1">
      <c r="A41" s="211"/>
      <c r="B41" s="211"/>
      <c r="C41" s="212"/>
      <c r="D41" s="212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</row>
    <row r="42" ht="15.75" customHeight="1">
      <c r="A42" s="211"/>
      <c r="B42" s="211"/>
      <c r="C42" s="212"/>
      <c r="D42" s="212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</row>
    <row r="43" ht="15.75" customHeight="1">
      <c r="A43" s="211"/>
      <c r="B43" s="211"/>
      <c r="C43" s="212"/>
      <c r="D43" s="212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</row>
    <row r="44" ht="15.75" customHeight="1">
      <c r="A44" s="211"/>
      <c r="B44" s="211"/>
      <c r="C44" s="212"/>
      <c r="D44" s="212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</row>
    <row r="45" ht="15.75" customHeight="1">
      <c r="A45" s="211"/>
      <c r="B45" s="211"/>
      <c r="C45" s="212"/>
      <c r="D45" s="212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</row>
    <row r="46" ht="15.75" customHeight="1">
      <c r="A46" s="211"/>
      <c r="B46" s="211"/>
      <c r="C46" s="212"/>
      <c r="D46" s="212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</row>
    <row r="47" ht="15.75" customHeight="1">
      <c r="A47" s="211"/>
      <c r="B47" s="211"/>
      <c r="C47" s="212"/>
      <c r="D47" s="212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</row>
    <row r="48" ht="15.75" customHeight="1">
      <c r="A48" s="211"/>
      <c r="B48" s="211"/>
      <c r="C48" s="212"/>
      <c r="D48" s="212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</row>
    <row r="49" ht="15.75" customHeight="1">
      <c r="A49" s="211"/>
      <c r="B49" s="211"/>
      <c r="C49" s="212"/>
      <c r="D49" s="212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</row>
    <row r="50" ht="15.75" customHeight="1">
      <c r="A50" s="211"/>
      <c r="B50" s="211"/>
      <c r="C50" s="212"/>
      <c r="D50" s="212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</row>
    <row r="51" ht="15.75" customHeight="1">
      <c r="A51" s="211"/>
      <c r="B51" s="211"/>
      <c r="C51" s="212"/>
      <c r="D51" s="212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</row>
    <row r="52" ht="15.75" customHeight="1">
      <c r="A52" s="211"/>
      <c r="B52" s="211"/>
      <c r="C52" s="212"/>
      <c r="D52" s="212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</row>
    <row r="53" ht="15.75" customHeight="1">
      <c r="A53" s="211"/>
      <c r="B53" s="211"/>
      <c r="C53" s="212"/>
      <c r="D53" s="212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  <c r="AA53" s="211"/>
    </row>
    <row r="54" ht="15.75" customHeight="1">
      <c r="A54" s="211"/>
      <c r="B54" s="211"/>
      <c r="C54" s="212"/>
      <c r="D54" s="212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</row>
    <row r="55" ht="15.75" customHeight="1">
      <c r="A55" s="211"/>
      <c r="B55" s="211"/>
      <c r="C55" s="212"/>
      <c r="D55" s="212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</row>
    <row r="56" ht="15.75" customHeight="1">
      <c r="A56" s="211"/>
      <c r="B56" s="211"/>
      <c r="C56" s="212"/>
      <c r="D56" s="212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</row>
    <row r="57" ht="15.75" customHeight="1">
      <c r="A57" s="211"/>
      <c r="B57" s="211"/>
      <c r="C57" s="212"/>
      <c r="D57" s="212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1"/>
    </row>
    <row r="58" ht="15.75" customHeight="1">
      <c r="A58" s="211"/>
      <c r="B58" s="211"/>
      <c r="C58" s="212"/>
      <c r="D58" s="212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</row>
    <row r="59" ht="15.75" customHeight="1">
      <c r="A59" s="211"/>
      <c r="B59" s="211"/>
      <c r="C59" s="212"/>
      <c r="D59" s="212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1"/>
    </row>
    <row r="60" ht="15.75" customHeight="1">
      <c r="A60" s="211"/>
      <c r="B60" s="211"/>
      <c r="C60" s="212"/>
      <c r="D60" s="212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</row>
    <row r="61" ht="15.75" customHeight="1">
      <c r="A61" s="211"/>
      <c r="B61" s="211"/>
      <c r="C61" s="212"/>
      <c r="D61" s="212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</row>
    <row r="62" ht="15.75" customHeight="1">
      <c r="A62" s="211"/>
      <c r="B62" s="211"/>
      <c r="C62" s="212"/>
      <c r="D62" s="212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</row>
    <row r="63" ht="15.75" customHeight="1">
      <c r="A63" s="211"/>
      <c r="B63" s="211"/>
      <c r="C63" s="212"/>
      <c r="D63" s="212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1"/>
    </row>
    <row r="64" ht="15.75" customHeight="1">
      <c r="A64" s="211"/>
      <c r="B64" s="211"/>
      <c r="C64" s="212"/>
      <c r="D64" s="212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</row>
    <row r="65" ht="15.75" customHeight="1">
      <c r="A65" s="211"/>
      <c r="B65" s="211"/>
      <c r="C65" s="212"/>
      <c r="D65" s="212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1"/>
    </row>
    <row r="66" ht="15.75" customHeight="1">
      <c r="A66" s="211"/>
      <c r="B66" s="211"/>
      <c r="C66" s="212"/>
      <c r="D66" s="212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</row>
    <row r="67" ht="15.75" customHeight="1">
      <c r="A67" s="211"/>
      <c r="B67" s="211"/>
      <c r="C67" s="212"/>
      <c r="D67" s="212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</row>
    <row r="68" ht="15.75" customHeight="1">
      <c r="A68" s="211"/>
      <c r="B68" s="211"/>
      <c r="C68" s="212"/>
      <c r="D68" s="212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</row>
    <row r="69" ht="15.75" customHeight="1">
      <c r="A69" s="211"/>
      <c r="B69" s="211"/>
      <c r="C69" s="212"/>
      <c r="D69" s="212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1"/>
    </row>
    <row r="70" ht="15.75" customHeight="1">
      <c r="A70" s="211"/>
      <c r="B70" s="211"/>
      <c r="C70" s="212"/>
      <c r="D70" s="212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  <c r="AA70" s="211"/>
    </row>
    <row r="71" ht="15.75" customHeight="1">
      <c r="A71" s="211"/>
      <c r="B71" s="211"/>
      <c r="C71" s="212"/>
      <c r="D71" s="212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  <c r="AA71" s="211"/>
    </row>
    <row r="72" ht="15.75" customHeight="1">
      <c r="A72" s="211"/>
      <c r="B72" s="211"/>
      <c r="C72" s="212"/>
      <c r="D72" s="212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</row>
    <row r="73" ht="15.75" customHeight="1">
      <c r="A73" s="211"/>
      <c r="B73" s="211"/>
      <c r="C73" s="212"/>
      <c r="D73" s="212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</row>
    <row r="74" ht="15.75" customHeight="1">
      <c r="A74" s="211"/>
      <c r="B74" s="211"/>
      <c r="C74" s="212"/>
      <c r="D74" s="212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</row>
    <row r="75" ht="15.75" customHeight="1">
      <c r="A75" s="211"/>
      <c r="B75" s="211"/>
      <c r="C75" s="212"/>
      <c r="D75" s="212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</row>
    <row r="76" ht="15.75" customHeight="1">
      <c r="A76" s="211"/>
      <c r="B76" s="211"/>
      <c r="C76" s="212"/>
      <c r="D76" s="212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</row>
    <row r="77" ht="15.75" customHeight="1">
      <c r="A77" s="211"/>
      <c r="B77" s="211"/>
      <c r="C77" s="212"/>
      <c r="D77" s="212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</row>
    <row r="78" ht="15.75" customHeight="1">
      <c r="A78" s="211"/>
      <c r="B78" s="211"/>
      <c r="C78" s="212"/>
      <c r="D78" s="212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</row>
    <row r="79" ht="15.75" customHeight="1">
      <c r="A79" s="211"/>
      <c r="B79" s="211"/>
      <c r="C79" s="212"/>
      <c r="D79" s="212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</row>
    <row r="80" ht="15.75" customHeight="1">
      <c r="A80" s="211"/>
      <c r="B80" s="211"/>
      <c r="C80" s="212"/>
      <c r="D80" s="212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</row>
    <row r="81" ht="15.75" customHeight="1">
      <c r="A81" s="211"/>
      <c r="B81" s="211"/>
      <c r="C81" s="212"/>
      <c r="D81" s="212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</row>
    <row r="82" ht="15.75" customHeight="1">
      <c r="A82" s="211"/>
      <c r="B82" s="211"/>
      <c r="C82" s="212"/>
      <c r="D82" s="212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</row>
    <row r="83" ht="15.75" customHeight="1">
      <c r="A83" s="211"/>
      <c r="B83" s="211"/>
      <c r="C83" s="212"/>
      <c r="D83" s="212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</row>
    <row r="84" ht="15.75" customHeight="1">
      <c r="A84" s="211"/>
      <c r="B84" s="211"/>
      <c r="C84" s="212"/>
      <c r="D84" s="212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</row>
    <row r="85" ht="15.75" customHeight="1">
      <c r="A85" s="211"/>
      <c r="B85" s="211"/>
      <c r="C85" s="212"/>
      <c r="D85" s="212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</row>
    <row r="86" ht="15.75" customHeight="1">
      <c r="A86" s="211"/>
      <c r="B86" s="211"/>
      <c r="C86" s="212"/>
      <c r="D86" s="212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</row>
    <row r="87" ht="15.75" customHeight="1">
      <c r="A87" s="211"/>
      <c r="B87" s="211"/>
      <c r="C87" s="212"/>
      <c r="D87" s="212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</row>
    <row r="88" ht="15.75" customHeight="1">
      <c r="A88" s="211"/>
      <c r="B88" s="211"/>
      <c r="C88" s="212"/>
      <c r="D88" s="212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</row>
    <row r="89" ht="15.75" customHeight="1">
      <c r="A89" s="211"/>
      <c r="B89" s="211"/>
      <c r="C89" s="212"/>
      <c r="D89" s="212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</row>
    <row r="90" ht="15.75" customHeight="1">
      <c r="A90" s="211"/>
      <c r="B90" s="211"/>
      <c r="C90" s="212"/>
      <c r="D90" s="212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</row>
    <row r="91" ht="15.75" customHeight="1">
      <c r="A91" s="211"/>
      <c r="B91" s="211"/>
      <c r="C91" s="212"/>
      <c r="D91" s="212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</row>
    <row r="92" ht="15.75" customHeight="1">
      <c r="A92" s="211"/>
      <c r="B92" s="211"/>
      <c r="C92" s="212"/>
      <c r="D92" s="212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</row>
    <row r="93" ht="15.75" customHeight="1">
      <c r="A93" s="211"/>
      <c r="B93" s="211"/>
      <c r="C93" s="212"/>
      <c r="D93" s="212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</row>
    <row r="94" ht="15.75" customHeight="1">
      <c r="A94" s="211"/>
      <c r="B94" s="211"/>
      <c r="C94" s="212"/>
      <c r="D94" s="212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</row>
    <row r="95" ht="15.75" customHeight="1">
      <c r="A95" s="211"/>
      <c r="B95" s="211"/>
      <c r="C95" s="212"/>
      <c r="D95" s="212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</row>
    <row r="96" ht="15.75" customHeight="1">
      <c r="A96" s="211"/>
      <c r="B96" s="211"/>
      <c r="C96" s="212"/>
      <c r="D96" s="212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</row>
    <row r="97" ht="15.75" customHeight="1">
      <c r="A97" s="211"/>
      <c r="B97" s="211"/>
      <c r="C97" s="212"/>
      <c r="D97" s="212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</row>
    <row r="98" ht="15.75" customHeight="1">
      <c r="A98" s="211"/>
      <c r="B98" s="211"/>
      <c r="C98" s="212"/>
      <c r="D98" s="212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</row>
    <row r="99" ht="15.75" customHeight="1">
      <c r="A99" s="211"/>
      <c r="B99" s="211"/>
      <c r="C99" s="212"/>
      <c r="D99" s="212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</row>
    <row r="100" ht="15.75" customHeight="1">
      <c r="A100" s="211"/>
      <c r="B100" s="211"/>
      <c r="C100" s="212"/>
      <c r="D100" s="212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</row>
    <row r="101" ht="15.75" customHeight="1">
      <c r="A101" s="211"/>
      <c r="B101" s="211"/>
      <c r="C101" s="212"/>
      <c r="D101" s="212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</row>
    <row r="102" ht="15.75" customHeight="1">
      <c r="A102" s="211"/>
      <c r="B102" s="211"/>
      <c r="C102" s="212"/>
      <c r="D102" s="212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</row>
    <row r="103" ht="15.75" customHeight="1">
      <c r="A103" s="211"/>
      <c r="B103" s="211"/>
      <c r="C103" s="212"/>
      <c r="D103" s="212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</row>
    <row r="104" ht="15.75" customHeight="1">
      <c r="A104" s="211"/>
      <c r="B104" s="211"/>
      <c r="C104" s="212"/>
      <c r="D104" s="212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</row>
    <row r="105" ht="15.75" customHeight="1">
      <c r="A105" s="211"/>
      <c r="B105" s="211"/>
      <c r="C105" s="212"/>
      <c r="D105" s="212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</row>
    <row r="106" ht="15.75" customHeight="1">
      <c r="A106" s="211"/>
      <c r="B106" s="211"/>
      <c r="C106" s="212"/>
      <c r="D106" s="212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</row>
    <row r="107" ht="15.75" customHeight="1">
      <c r="A107" s="211"/>
      <c r="B107" s="211"/>
      <c r="C107" s="212"/>
      <c r="D107" s="212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</row>
    <row r="108" ht="15.75" customHeight="1">
      <c r="A108" s="211"/>
      <c r="B108" s="211"/>
      <c r="C108" s="212"/>
      <c r="D108" s="212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</row>
    <row r="109" ht="15.75" customHeight="1">
      <c r="A109" s="211"/>
      <c r="B109" s="211"/>
      <c r="C109" s="212"/>
      <c r="D109" s="212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</row>
    <row r="110" ht="15.75" customHeight="1">
      <c r="A110" s="211"/>
      <c r="B110" s="211"/>
      <c r="C110" s="212"/>
      <c r="D110" s="212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</row>
    <row r="111" ht="15.75" customHeight="1">
      <c r="A111" s="211"/>
      <c r="B111" s="211"/>
      <c r="C111" s="212"/>
      <c r="D111" s="212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</row>
    <row r="112" ht="15.75" customHeight="1">
      <c r="A112" s="211"/>
      <c r="B112" s="211"/>
      <c r="C112" s="212"/>
      <c r="D112" s="212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</row>
    <row r="113" ht="15.75" customHeight="1">
      <c r="A113" s="211"/>
      <c r="B113" s="211"/>
      <c r="C113" s="212"/>
      <c r="D113" s="212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</row>
    <row r="114" ht="15.75" customHeight="1">
      <c r="A114" s="211"/>
      <c r="B114" s="211"/>
      <c r="C114" s="212"/>
      <c r="D114" s="212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</row>
    <row r="115" ht="15.75" customHeight="1">
      <c r="A115" s="211"/>
      <c r="B115" s="211"/>
      <c r="C115" s="212"/>
      <c r="D115" s="212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</row>
    <row r="116" ht="15.75" customHeight="1">
      <c r="A116" s="211"/>
      <c r="B116" s="211"/>
      <c r="C116" s="212"/>
      <c r="D116" s="212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</row>
    <row r="117" ht="15.75" customHeight="1">
      <c r="A117" s="211"/>
      <c r="B117" s="211"/>
      <c r="C117" s="212"/>
      <c r="D117" s="212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</row>
    <row r="118" ht="15.75" customHeight="1">
      <c r="A118" s="211"/>
      <c r="B118" s="211"/>
      <c r="C118" s="212"/>
      <c r="D118" s="212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</row>
    <row r="119" ht="15.75" customHeight="1">
      <c r="A119" s="211"/>
      <c r="B119" s="211"/>
      <c r="C119" s="212"/>
      <c r="D119" s="212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</row>
    <row r="120" ht="15.75" customHeight="1">
      <c r="A120" s="211"/>
      <c r="B120" s="211"/>
      <c r="C120" s="212"/>
      <c r="D120" s="212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</row>
    <row r="121" ht="15.75" customHeight="1">
      <c r="A121" s="211"/>
      <c r="B121" s="211"/>
      <c r="C121" s="212"/>
      <c r="D121" s="212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</row>
    <row r="122" ht="15.75" customHeight="1">
      <c r="A122" s="211"/>
      <c r="B122" s="211"/>
      <c r="C122" s="212"/>
      <c r="D122" s="212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</row>
    <row r="123" ht="15.75" customHeight="1">
      <c r="A123" s="211"/>
      <c r="B123" s="211"/>
      <c r="C123" s="212"/>
      <c r="D123" s="212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</row>
    <row r="124" ht="15.75" customHeight="1">
      <c r="A124" s="211"/>
      <c r="B124" s="211"/>
      <c r="C124" s="212"/>
      <c r="D124" s="212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</row>
    <row r="125" ht="15.75" customHeight="1">
      <c r="A125" s="211"/>
      <c r="B125" s="211"/>
      <c r="C125" s="212"/>
      <c r="D125" s="212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</row>
    <row r="126" ht="15.75" customHeight="1">
      <c r="A126" s="211"/>
      <c r="B126" s="211"/>
      <c r="C126" s="212"/>
      <c r="D126" s="212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</row>
    <row r="127" ht="15.75" customHeight="1">
      <c r="A127" s="211"/>
      <c r="B127" s="211"/>
      <c r="C127" s="212"/>
      <c r="D127" s="212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</row>
    <row r="128" ht="15.75" customHeight="1">
      <c r="A128" s="211"/>
      <c r="B128" s="211"/>
      <c r="C128" s="212"/>
      <c r="D128" s="212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</row>
    <row r="129" ht="15.75" customHeight="1">
      <c r="A129" s="211"/>
      <c r="B129" s="211"/>
      <c r="C129" s="212"/>
      <c r="D129" s="212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</row>
    <row r="130" ht="15.75" customHeight="1">
      <c r="A130" s="211"/>
      <c r="B130" s="211"/>
      <c r="C130" s="212"/>
      <c r="D130" s="212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</row>
    <row r="131" ht="15.75" customHeight="1">
      <c r="A131" s="211"/>
      <c r="B131" s="211"/>
      <c r="C131" s="212"/>
      <c r="D131" s="212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</row>
    <row r="132" ht="15.75" customHeight="1">
      <c r="A132" s="211"/>
      <c r="B132" s="211"/>
      <c r="C132" s="212"/>
      <c r="D132" s="212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</row>
    <row r="133" ht="15.75" customHeight="1">
      <c r="A133" s="211"/>
      <c r="B133" s="211"/>
      <c r="C133" s="212"/>
      <c r="D133" s="212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</row>
    <row r="134" ht="15.75" customHeight="1">
      <c r="A134" s="211"/>
      <c r="B134" s="211"/>
      <c r="C134" s="212"/>
      <c r="D134" s="212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</row>
    <row r="135" ht="15.75" customHeight="1">
      <c r="A135" s="211"/>
      <c r="B135" s="211"/>
      <c r="C135" s="212"/>
      <c r="D135" s="212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  <c r="AA135" s="211"/>
    </row>
    <row r="136" ht="15.75" customHeight="1">
      <c r="A136" s="211"/>
      <c r="B136" s="211"/>
      <c r="C136" s="212"/>
      <c r="D136" s="212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  <c r="AA136" s="211"/>
    </row>
    <row r="137" ht="15.75" customHeight="1">
      <c r="A137" s="211"/>
      <c r="B137" s="211"/>
      <c r="C137" s="212"/>
      <c r="D137" s="212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</row>
    <row r="138" ht="15.75" customHeight="1">
      <c r="A138" s="211"/>
      <c r="B138" s="211"/>
      <c r="C138" s="212"/>
      <c r="D138" s="212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  <c r="AA138" s="211"/>
    </row>
    <row r="139" ht="15.75" customHeight="1">
      <c r="A139" s="211"/>
      <c r="B139" s="211"/>
      <c r="C139" s="212"/>
      <c r="D139" s="212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  <c r="AA139" s="211"/>
    </row>
    <row r="140" ht="15.75" customHeight="1">
      <c r="A140" s="211"/>
      <c r="B140" s="211"/>
      <c r="C140" s="212"/>
      <c r="D140" s="212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</row>
    <row r="141" ht="15.75" customHeight="1">
      <c r="A141" s="211"/>
      <c r="B141" s="211"/>
      <c r="C141" s="212"/>
      <c r="D141" s="212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</row>
    <row r="142" ht="15.75" customHeight="1">
      <c r="A142" s="211"/>
      <c r="B142" s="211"/>
      <c r="C142" s="212"/>
      <c r="D142" s="212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</row>
    <row r="143" ht="15.75" customHeight="1">
      <c r="A143" s="211"/>
      <c r="B143" s="211"/>
      <c r="C143" s="212"/>
      <c r="D143" s="212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</row>
    <row r="144" ht="15.75" customHeight="1">
      <c r="A144" s="211"/>
      <c r="B144" s="211"/>
      <c r="C144" s="212"/>
      <c r="D144" s="212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</row>
    <row r="145" ht="15.75" customHeight="1">
      <c r="A145" s="211"/>
      <c r="B145" s="211"/>
      <c r="C145" s="212"/>
      <c r="D145" s="212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</row>
    <row r="146" ht="15.75" customHeight="1">
      <c r="A146" s="211"/>
      <c r="B146" s="211"/>
      <c r="C146" s="212"/>
      <c r="D146" s="212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</row>
    <row r="147" ht="15.75" customHeight="1">
      <c r="A147" s="211"/>
      <c r="B147" s="211"/>
      <c r="C147" s="212"/>
      <c r="D147" s="212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</row>
    <row r="148" ht="15.75" customHeight="1">
      <c r="A148" s="211"/>
      <c r="B148" s="211"/>
      <c r="C148" s="212"/>
      <c r="D148" s="212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</row>
    <row r="149" ht="15.75" customHeight="1">
      <c r="A149" s="211"/>
      <c r="B149" s="211"/>
      <c r="C149" s="212"/>
      <c r="D149" s="212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  <c r="AA149" s="211"/>
    </row>
    <row r="150" ht="15.75" customHeight="1">
      <c r="A150" s="211"/>
      <c r="B150" s="211"/>
      <c r="C150" s="212"/>
      <c r="D150" s="212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A150" s="211"/>
    </row>
    <row r="151" ht="15.75" customHeight="1">
      <c r="A151" s="211"/>
      <c r="B151" s="211"/>
      <c r="C151" s="212"/>
      <c r="D151" s="212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  <c r="AA151" s="211"/>
    </row>
    <row r="152" ht="15.75" customHeight="1">
      <c r="A152" s="211"/>
      <c r="B152" s="211"/>
      <c r="C152" s="212"/>
      <c r="D152" s="212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  <c r="AA152" s="211"/>
    </row>
    <row r="153" ht="15.75" customHeight="1">
      <c r="A153" s="211"/>
      <c r="B153" s="211"/>
      <c r="C153" s="212"/>
      <c r="D153" s="212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  <c r="AA153" s="211"/>
    </row>
    <row r="154" ht="15.75" customHeight="1">
      <c r="A154" s="211"/>
      <c r="B154" s="211"/>
      <c r="C154" s="212"/>
      <c r="D154" s="212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  <c r="AA154" s="211"/>
    </row>
    <row r="155" ht="15.75" customHeight="1">
      <c r="A155" s="211"/>
      <c r="B155" s="211"/>
      <c r="C155" s="212"/>
      <c r="D155" s="212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A155" s="211"/>
    </row>
    <row r="156" ht="15.75" customHeight="1">
      <c r="A156" s="211"/>
      <c r="B156" s="211"/>
      <c r="C156" s="212"/>
      <c r="D156" s="212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</row>
    <row r="157" ht="15.75" customHeight="1">
      <c r="A157" s="211"/>
      <c r="B157" s="211"/>
      <c r="C157" s="212"/>
      <c r="D157" s="212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  <c r="AA157" s="211"/>
    </row>
    <row r="158" ht="15.75" customHeight="1">
      <c r="A158" s="211"/>
      <c r="B158" s="211"/>
      <c r="C158" s="212"/>
      <c r="D158" s="212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  <c r="AA158" s="211"/>
    </row>
    <row r="159" ht="15.75" customHeight="1">
      <c r="A159" s="211"/>
      <c r="B159" s="211"/>
      <c r="C159" s="212"/>
      <c r="D159" s="212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A159" s="211"/>
    </row>
    <row r="160" ht="15.75" customHeight="1">
      <c r="A160" s="211"/>
      <c r="B160" s="211"/>
      <c r="C160" s="212"/>
      <c r="D160" s="212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  <c r="AA160" s="211"/>
    </row>
    <row r="161" ht="15.75" customHeight="1">
      <c r="A161" s="211"/>
      <c r="B161" s="211"/>
      <c r="C161" s="212"/>
      <c r="D161" s="212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  <c r="AA161" s="211"/>
    </row>
    <row r="162" ht="15.75" customHeight="1">
      <c r="A162" s="211"/>
      <c r="B162" s="211"/>
      <c r="C162" s="212"/>
      <c r="D162" s="212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</row>
    <row r="163" ht="15.75" customHeight="1">
      <c r="A163" s="211"/>
      <c r="B163" s="211"/>
      <c r="C163" s="212"/>
      <c r="D163" s="212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</row>
    <row r="164" ht="15.75" customHeight="1">
      <c r="A164" s="211"/>
      <c r="B164" s="211"/>
      <c r="C164" s="212"/>
      <c r="D164" s="212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A164" s="211"/>
    </row>
    <row r="165" ht="15.75" customHeight="1">
      <c r="A165" s="211"/>
      <c r="B165" s="211"/>
      <c r="C165" s="212"/>
      <c r="D165" s="212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  <c r="AA165" s="211"/>
    </row>
    <row r="166" ht="15.75" customHeight="1">
      <c r="A166" s="211"/>
      <c r="B166" s="211"/>
      <c r="C166" s="212"/>
      <c r="D166" s="212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</row>
    <row r="167" ht="15.75" customHeight="1">
      <c r="A167" s="211"/>
      <c r="B167" s="211"/>
      <c r="C167" s="212"/>
      <c r="D167" s="212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</row>
    <row r="168" ht="15.75" customHeight="1">
      <c r="A168" s="211"/>
      <c r="B168" s="211"/>
      <c r="C168" s="212"/>
      <c r="D168" s="212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</row>
    <row r="169" ht="15.75" customHeight="1">
      <c r="A169" s="211"/>
      <c r="B169" s="211"/>
      <c r="C169" s="212"/>
      <c r="D169" s="212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</row>
    <row r="170" ht="15.75" customHeight="1">
      <c r="A170" s="211"/>
      <c r="B170" s="211"/>
      <c r="C170" s="212"/>
      <c r="D170" s="212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</row>
    <row r="171" ht="15.75" customHeight="1">
      <c r="A171" s="211"/>
      <c r="B171" s="211"/>
      <c r="C171" s="212"/>
      <c r="D171" s="212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</row>
    <row r="172" ht="15.75" customHeight="1">
      <c r="A172" s="211"/>
      <c r="B172" s="211"/>
      <c r="C172" s="212"/>
      <c r="D172" s="212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</row>
    <row r="173" ht="15.75" customHeight="1">
      <c r="A173" s="211"/>
      <c r="B173" s="211"/>
      <c r="C173" s="212"/>
      <c r="D173" s="212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</row>
    <row r="174" ht="15.75" customHeight="1">
      <c r="A174" s="211"/>
      <c r="B174" s="211"/>
      <c r="C174" s="212"/>
      <c r="D174" s="212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</row>
    <row r="175" ht="15.75" customHeight="1">
      <c r="A175" s="211"/>
      <c r="B175" s="211"/>
      <c r="C175" s="212"/>
      <c r="D175" s="212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</row>
    <row r="176" ht="15.75" customHeight="1">
      <c r="A176" s="211"/>
      <c r="B176" s="211"/>
      <c r="C176" s="212"/>
      <c r="D176" s="212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</row>
    <row r="177" ht="15.75" customHeight="1">
      <c r="A177" s="211"/>
      <c r="B177" s="211"/>
      <c r="C177" s="212"/>
      <c r="D177" s="212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</row>
    <row r="178" ht="15.75" customHeight="1">
      <c r="A178" s="211"/>
      <c r="B178" s="211"/>
      <c r="C178" s="212"/>
      <c r="D178" s="212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</row>
    <row r="179" ht="15.75" customHeight="1">
      <c r="A179" s="211"/>
      <c r="B179" s="211"/>
      <c r="C179" s="212"/>
      <c r="D179" s="212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</row>
    <row r="180" ht="15.75" customHeight="1">
      <c r="A180" s="211"/>
      <c r="B180" s="211"/>
      <c r="C180" s="212"/>
      <c r="D180" s="212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</row>
    <row r="181" ht="15.75" customHeight="1">
      <c r="A181" s="211"/>
      <c r="B181" s="211"/>
      <c r="C181" s="212"/>
      <c r="D181" s="212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</row>
    <row r="182" ht="15.75" customHeight="1">
      <c r="A182" s="211"/>
      <c r="B182" s="211"/>
      <c r="C182" s="212"/>
      <c r="D182" s="212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</row>
    <row r="183" ht="15.75" customHeight="1">
      <c r="A183" s="211"/>
      <c r="B183" s="211"/>
      <c r="C183" s="212"/>
      <c r="D183" s="212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</row>
    <row r="184" ht="15.75" customHeight="1">
      <c r="A184" s="211"/>
      <c r="B184" s="211"/>
      <c r="C184" s="212"/>
      <c r="D184" s="212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</row>
    <row r="185" ht="15.75" customHeight="1">
      <c r="A185" s="211"/>
      <c r="B185" s="211"/>
      <c r="C185" s="212"/>
      <c r="D185" s="212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</row>
    <row r="186" ht="15.75" customHeight="1">
      <c r="A186" s="211"/>
      <c r="B186" s="211"/>
      <c r="C186" s="212"/>
      <c r="D186" s="212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  <c r="AA186" s="211"/>
    </row>
    <row r="187" ht="15.75" customHeight="1">
      <c r="A187" s="211"/>
      <c r="B187" s="211"/>
      <c r="C187" s="212"/>
      <c r="D187" s="212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  <c r="AA187" s="211"/>
    </row>
    <row r="188" ht="15.75" customHeight="1">
      <c r="A188" s="211"/>
      <c r="B188" s="211"/>
      <c r="C188" s="212"/>
      <c r="D188" s="212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  <c r="AA188" s="211"/>
    </row>
    <row r="189" ht="15.75" customHeight="1">
      <c r="A189" s="211"/>
      <c r="B189" s="211"/>
      <c r="C189" s="212"/>
      <c r="D189" s="212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  <c r="AA189" s="211"/>
    </row>
    <row r="190" ht="15.75" customHeight="1">
      <c r="A190" s="211"/>
      <c r="B190" s="211"/>
      <c r="C190" s="212"/>
      <c r="D190" s="212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</row>
    <row r="191" ht="15.75" customHeight="1">
      <c r="A191" s="211"/>
      <c r="B191" s="211"/>
      <c r="C191" s="212"/>
      <c r="D191" s="212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  <c r="AA191" s="211"/>
    </row>
    <row r="192" ht="15.75" customHeight="1">
      <c r="A192" s="211"/>
      <c r="B192" s="211"/>
      <c r="C192" s="212"/>
      <c r="D192" s="212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  <c r="AA192" s="211"/>
    </row>
    <row r="193" ht="15.75" customHeight="1">
      <c r="A193" s="211"/>
      <c r="B193" s="211"/>
      <c r="C193" s="212"/>
      <c r="D193" s="212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  <c r="AA193" s="211"/>
    </row>
    <row r="194" ht="15.75" customHeight="1">
      <c r="A194" s="211"/>
      <c r="B194" s="211"/>
      <c r="C194" s="212"/>
      <c r="D194" s="212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A194" s="211"/>
    </row>
    <row r="195" ht="15.75" customHeight="1">
      <c r="A195" s="211"/>
      <c r="B195" s="211"/>
      <c r="C195" s="212"/>
      <c r="D195" s="212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</row>
    <row r="196" ht="15.75" customHeight="1">
      <c r="A196" s="211"/>
      <c r="B196" s="211"/>
      <c r="C196" s="212"/>
      <c r="D196" s="212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</row>
    <row r="197" ht="15.75" customHeight="1">
      <c r="A197" s="211"/>
      <c r="B197" s="211"/>
      <c r="C197" s="212"/>
      <c r="D197" s="212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A197" s="211"/>
    </row>
    <row r="198" ht="15.75" customHeight="1">
      <c r="A198" s="211"/>
      <c r="B198" s="211"/>
      <c r="C198" s="212"/>
      <c r="D198" s="212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</row>
    <row r="199" ht="15.75" customHeight="1">
      <c r="A199" s="211"/>
      <c r="B199" s="211"/>
      <c r="C199" s="212"/>
      <c r="D199" s="212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A199" s="211"/>
    </row>
    <row r="200" ht="15.75" customHeight="1">
      <c r="A200" s="211"/>
      <c r="B200" s="211"/>
      <c r="C200" s="212"/>
      <c r="D200" s="212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</row>
    <row r="201" ht="15.75" customHeight="1">
      <c r="A201" s="211"/>
      <c r="B201" s="211"/>
      <c r="C201" s="212"/>
      <c r="D201" s="212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</row>
    <row r="202" ht="15.75" customHeight="1">
      <c r="A202" s="211"/>
      <c r="B202" s="211"/>
      <c r="C202" s="212"/>
      <c r="D202" s="212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</row>
    <row r="203" ht="15.75" customHeight="1">
      <c r="A203" s="211"/>
      <c r="B203" s="211"/>
      <c r="C203" s="212"/>
      <c r="D203" s="212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</row>
    <row r="204" ht="15.75" customHeight="1">
      <c r="A204" s="211"/>
      <c r="B204" s="211"/>
      <c r="C204" s="212"/>
      <c r="D204" s="212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A204" s="211"/>
    </row>
    <row r="205" ht="15.75" customHeight="1">
      <c r="A205" s="211"/>
      <c r="B205" s="211"/>
      <c r="C205" s="212"/>
      <c r="D205" s="212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A205" s="211"/>
    </row>
    <row r="206" ht="15.75" customHeight="1">
      <c r="A206" s="211"/>
      <c r="B206" s="211"/>
      <c r="C206" s="212"/>
      <c r="D206" s="212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  <c r="AA206" s="211"/>
    </row>
    <row r="207" ht="15.75" customHeight="1">
      <c r="A207" s="211"/>
      <c r="B207" s="211"/>
      <c r="C207" s="212"/>
      <c r="D207" s="212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  <c r="AA207" s="211"/>
    </row>
    <row r="208" ht="15.75" customHeight="1">
      <c r="A208" s="211"/>
      <c r="B208" s="211"/>
      <c r="C208" s="212"/>
      <c r="D208" s="212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  <c r="AA208" s="211"/>
    </row>
    <row r="209" ht="15.75" customHeight="1">
      <c r="A209" s="211"/>
      <c r="B209" s="211"/>
      <c r="C209" s="212"/>
      <c r="D209" s="212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  <c r="AA209" s="211"/>
    </row>
    <row r="210" ht="15.75" customHeight="1">
      <c r="A210" s="211"/>
      <c r="B210" s="211"/>
      <c r="C210" s="212"/>
      <c r="D210" s="212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</row>
    <row r="211" ht="15.75" customHeight="1">
      <c r="A211" s="211"/>
      <c r="B211" s="211"/>
      <c r="C211" s="212"/>
      <c r="D211" s="212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</row>
    <row r="212" ht="15.75" customHeight="1">
      <c r="A212" s="211"/>
      <c r="B212" s="211"/>
      <c r="C212" s="212"/>
      <c r="D212" s="212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</row>
    <row r="213" ht="15.75" customHeight="1">
      <c r="A213" s="211"/>
      <c r="B213" s="211"/>
      <c r="C213" s="212"/>
      <c r="D213" s="212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</row>
    <row r="214" ht="15.75" customHeight="1">
      <c r="A214" s="211"/>
      <c r="B214" s="211"/>
      <c r="C214" s="212"/>
      <c r="D214" s="212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</row>
    <row r="215" ht="15.75" customHeight="1">
      <c r="A215" s="211"/>
      <c r="B215" s="211"/>
      <c r="C215" s="212"/>
      <c r="D215" s="212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</row>
    <row r="216" ht="15.75" customHeight="1">
      <c r="A216" s="211"/>
      <c r="B216" s="211"/>
      <c r="C216" s="212"/>
      <c r="D216" s="212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</row>
    <row r="217" ht="15.75" customHeight="1">
      <c r="A217" s="211"/>
      <c r="B217" s="211"/>
      <c r="C217" s="212"/>
      <c r="D217" s="212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</row>
    <row r="218" ht="15.75" customHeight="1">
      <c r="A218" s="211"/>
      <c r="B218" s="211"/>
      <c r="C218" s="212"/>
      <c r="D218" s="212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</row>
    <row r="219" ht="15.75" customHeight="1">
      <c r="A219" s="211"/>
      <c r="B219" s="211"/>
      <c r="C219" s="212"/>
      <c r="D219" s="212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</row>
    <row r="220" ht="15.75" customHeight="1">
      <c r="A220" s="211"/>
      <c r="B220" s="211"/>
      <c r="C220" s="212"/>
      <c r="D220" s="212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</row>
    <row r="221" ht="15.75" customHeight="1">
      <c r="A221" s="207"/>
      <c r="B221" s="207"/>
      <c r="C221" s="209"/>
      <c r="D221" s="209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</row>
    <row r="222" ht="15.75" customHeight="1">
      <c r="A222" s="207"/>
      <c r="B222" s="207"/>
      <c r="C222" s="209"/>
      <c r="D222" s="209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</row>
    <row r="223" ht="15.75" customHeight="1">
      <c r="A223" s="207"/>
      <c r="B223" s="207"/>
      <c r="C223" s="209"/>
      <c r="D223" s="209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</row>
    <row r="224" ht="15.75" customHeight="1">
      <c r="A224" s="207"/>
      <c r="B224" s="207"/>
      <c r="C224" s="209"/>
      <c r="D224" s="209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</row>
    <row r="225" ht="15.75" customHeight="1">
      <c r="A225" s="207"/>
      <c r="B225" s="207"/>
      <c r="C225" s="209"/>
      <c r="D225" s="209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</row>
    <row r="226" ht="15.75" customHeight="1">
      <c r="A226" s="207"/>
      <c r="B226" s="207"/>
      <c r="C226" s="209"/>
      <c r="D226" s="209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</row>
    <row r="227" ht="15.75" customHeight="1">
      <c r="A227" s="207"/>
      <c r="B227" s="207"/>
      <c r="C227" s="209"/>
      <c r="D227" s="209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</row>
    <row r="228" ht="15.75" customHeight="1">
      <c r="A228" s="207"/>
      <c r="B228" s="207"/>
      <c r="C228" s="209"/>
      <c r="D228" s="209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</row>
    <row r="229" ht="15.75" customHeight="1">
      <c r="A229" s="207"/>
      <c r="B229" s="207"/>
      <c r="C229" s="209"/>
      <c r="D229" s="209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</row>
    <row r="230" ht="15.75" customHeight="1">
      <c r="A230" s="207"/>
      <c r="B230" s="207"/>
      <c r="C230" s="209"/>
      <c r="D230" s="209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</row>
    <row r="231" ht="15.75" customHeight="1">
      <c r="A231" s="207"/>
      <c r="B231" s="207"/>
      <c r="C231" s="209"/>
      <c r="D231" s="209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</row>
    <row r="232" ht="15.75" customHeight="1">
      <c r="A232" s="207"/>
      <c r="B232" s="207"/>
      <c r="C232" s="209"/>
      <c r="D232" s="209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</row>
    <row r="233" ht="15.75" customHeight="1">
      <c r="A233" s="207"/>
      <c r="B233" s="207"/>
      <c r="C233" s="209"/>
      <c r="D233" s="209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</row>
    <row r="234" ht="15.75" customHeight="1">
      <c r="A234" s="207"/>
      <c r="B234" s="207"/>
      <c r="C234" s="209"/>
      <c r="D234" s="209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</row>
    <row r="235" ht="15.75" customHeight="1">
      <c r="A235" s="207"/>
      <c r="B235" s="207"/>
      <c r="C235" s="209"/>
      <c r="D235" s="209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</row>
    <row r="236" ht="15.75" customHeight="1">
      <c r="A236" s="207"/>
      <c r="B236" s="207"/>
      <c r="C236" s="209"/>
      <c r="D236" s="209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</row>
    <row r="237" ht="15.75" customHeight="1">
      <c r="A237" s="207"/>
      <c r="B237" s="207"/>
      <c r="C237" s="209"/>
      <c r="D237" s="209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</row>
    <row r="238" ht="15.75" customHeight="1">
      <c r="A238" s="207"/>
      <c r="B238" s="207"/>
      <c r="C238" s="209"/>
      <c r="D238" s="209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</row>
    <row r="239" ht="15.75" customHeight="1">
      <c r="A239" s="207"/>
      <c r="B239" s="207"/>
      <c r="C239" s="209"/>
      <c r="D239" s="209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</row>
    <row r="240" ht="15.75" customHeight="1">
      <c r="A240" s="207"/>
      <c r="B240" s="207"/>
      <c r="C240" s="209"/>
      <c r="D240" s="209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</row>
    <row r="241" ht="15.75" customHeight="1">
      <c r="A241" s="207"/>
      <c r="B241" s="207"/>
      <c r="C241" s="209"/>
      <c r="D241" s="209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</row>
    <row r="242" ht="15.75" customHeight="1">
      <c r="A242" s="207"/>
      <c r="B242" s="207"/>
      <c r="C242" s="209"/>
      <c r="D242" s="209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</row>
    <row r="243" ht="15.75" customHeight="1">
      <c r="A243" s="207"/>
      <c r="B243" s="207"/>
      <c r="C243" s="209"/>
      <c r="D243" s="209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</row>
    <row r="244" ht="15.75" customHeight="1">
      <c r="A244" s="207"/>
      <c r="B244" s="207"/>
      <c r="C244" s="209"/>
      <c r="D244" s="209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</row>
    <row r="245" ht="15.75" customHeight="1">
      <c r="A245" s="207"/>
      <c r="B245" s="207"/>
      <c r="C245" s="209"/>
      <c r="D245" s="209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</row>
    <row r="246" ht="15.75" customHeight="1">
      <c r="A246" s="207"/>
      <c r="B246" s="207"/>
      <c r="C246" s="209"/>
      <c r="D246" s="209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</row>
    <row r="247" ht="15.75" customHeight="1">
      <c r="A247" s="207"/>
      <c r="B247" s="207"/>
      <c r="C247" s="209"/>
      <c r="D247" s="209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</row>
    <row r="248" ht="15.75" customHeight="1">
      <c r="A248" s="207"/>
      <c r="B248" s="207"/>
      <c r="C248" s="209"/>
      <c r="D248" s="209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</row>
    <row r="249" ht="15.75" customHeight="1">
      <c r="A249" s="207"/>
      <c r="B249" s="207"/>
      <c r="C249" s="209"/>
      <c r="D249" s="209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</row>
    <row r="250" ht="15.75" customHeight="1">
      <c r="A250" s="207"/>
      <c r="B250" s="207"/>
      <c r="C250" s="209"/>
      <c r="D250" s="209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</row>
    <row r="251" ht="15.75" customHeight="1">
      <c r="A251" s="207"/>
      <c r="B251" s="207"/>
      <c r="C251" s="209"/>
      <c r="D251" s="209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</row>
    <row r="252" ht="15.75" customHeight="1">
      <c r="A252" s="207"/>
      <c r="B252" s="207"/>
      <c r="C252" s="209"/>
      <c r="D252" s="209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</row>
    <row r="253" ht="15.75" customHeight="1">
      <c r="A253" s="207"/>
      <c r="B253" s="207"/>
      <c r="C253" s="209"/>
      <c r="D253" s="209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</row>
    <row r="254" ht="15.75" customHeight="1">
      <c r="A254" s="207"/>
      <c r="B254" s="207"/>
      <c r="C254" s="209"/>
      <c r="D254" s="209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</row>
    <row r="255" ht="15.75" customHeight="1">
      <c r="A255" s="207"/>
      <c r="B255" s="207"/>
      <c r="C255" s="209"/>
      <c r="D255" s="209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</row>
    <row r="256" ht="15.75" customHeight="1">
      <c r="A256" s="207"/>
      <c r="B256" s="207"/>
      <c r="C256" s="209"/>
      <c r="D256" s="209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</row>
    <row r="257" ht="15.75" customHeight="1">
      <c r="A257" s="207"/>
      <c r="B257" s="207"/>
      <c r="C257" s="209"/>
      <c r="D257" s="209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</row>
    <row r="258" ht="15.75" customHeight="1">
      <c r="A258" s="207"/>
      <c r="B258" s="207"/>
      <c r="C258" s="209"/>
      <c r="D258" s="209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</row>
    <row r="259" ht="15.75" customHeight="1">
      <c r="A259" s="207"/>
      <c r="B259" s="207"/>
      <c r="C259" s="209"/>
      <c r="D259" s="209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</row>
    <row r="260" ht="15.75" customHeight="1">
      <c r="A260" s="207"/>
      <c r="B260" s="207"/>
      <c r="C260" s="209"/>
      <c r="D260" s="209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</row>
    <row r="261" ht="15.75" customHeight="1">
      <c r="A261" s="207"/>
      <c r="B261" s="207"/>
      <c r="C261" s="209"/>
      <c r="D261" s="209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</row>
    <row r="262" ht="15.75" customHeight="1">
      <c r="A262" s="207"/>
      <c r="B262" s="207"/>
      <c r="C262" s="209"/>
      <c r="D262" s="209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</row>
    <row r="263" ht="15.75" customHeight="1">
      <c r="A263" s="207"/>
      <c r="B263" s="207"/>
      <c r="C263" s="209"/>
      <c r="D263" s="209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</row>
    <row r="264" ht="15.75" customHeight="1">
      <c r="A264" s="207"/>
      <c r="B264" s="207"/>
      <c r="C264" s="209"/>
      <c r="D264" s="209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</row>
    <row r="265" ht="15.75" customHeight="1">
      <c r="A265" s="207"/>
      <c r="B265" s="207"/>
      <c r="C265" s="209"/>
      <c r="D265" s="209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</row>
    <row r="266" ht="15.75" customHeight="1">
      <c r="A266" s="207"/>
      <c r="B266" s="207"/>
      <c r="C266" s="209"/>
      <c r="D266" s="209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</row>
    <row r="267" ht="15.75" customHeight="1">
      <c r="A267" s="207"/>
      <c r="B267" s="207"/>
      <c r="C267" s="209"/>
      <c r="D267" s="209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</row>
    <row r="268" ht="15.75" customHeight="1">
      <c r="A268" s="207"/>
      <c r="B268" s="207"/>
      <c r="C268" s="209"/>
      <c r="D268" s="209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</row>
    <row r="269" ht="15.75" customHeight="1">
      <c r="A269" s="207"/>
      <c r="B269" s="207"/>
      <c r="C269" s="209"/>
      <c r="D269" s="209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</row>
    <row r="270" ht="15.75" customHeight="1">
      <c r="A270" s="207"/>
      <c r="B270" s="207"/>
      <c r="C270" s="209"/>
      <c r="D270" s="209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</row>
    <row r="271" ht="15.75" customHeight="1">
      <c r="A271" s="207"/>
      <c r="B271" s="207"/>
      <c r="C271" s="209"/>
      <c r="D271" s="209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</row>
    <row r="272" ht="15.75" customHeight="1">
      <c r="A272" s="207"/>
      <c r="B272" s="207"/>
      <c r="C272" s="209"/>
      <c r="D272" s="209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</row>
    <row r="273" ht="15.75" customHeight="1">
      <c r="A273" s="207"/>
      <c r="B273" s="207"/>
      <c r="C273" s="209"/>
      <c r="D273" s="209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</row>
    <row r="274" ht="15.75" customHeight="1">
      <c r="A274" s="207"/>
      <c r="B274" s="207"/>
      <c r="C274" s="209"/>
      <c r="D274" s="209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</row>
    <row r="275" ht="15.75" customHeight="1">
      <c r="A275" s="207"/>
      <c r="B275" s="207"/>
      <c r="C275" s="209"/>
      <c r="D275" s="209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</row>
    <row r="276" ht="15.75" customHeight="1">
      <c r="A276" s="207"/>
      <c r="B276" s="207"/>
      <c r="C276" s="209"/>
      <c r="D276" s="209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</row>
    <row r="277" ht="15.75" customHeight="1">
      <c r="A277" s="207"/>
      <c r="B277" s="207"/>
      <c r="C277" s="209"/>
      <c r="D277" s="209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</row>
    <row r="278" ht="15.75" customHeight="1">
      <c r="A278" s="207"/>
      <c r="B278" s="207"/>
      <c r="C278" s="209"/>
      <c r="D278" s="209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</row>
    <row r="279" ht="15.75" customHeight="1">
      <c r="A279" s="207"/>
      <c r="B279" s="207"/>
      <c r="C279" s="209"/>
      <c r="D279" s="209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</row>
    <row r="280" ht="15.75" customHeight="1">
      <c r="A280" s="207"/>
      <c r="B280" s="207"/>
      <c r="C280" s="209"/>
      <c r="D280" s="209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</row>
    <row r="281" ht="15.75" customHeight="1">
      <c r="A281" s="207"/>
      <c r="B281" s="207"/>
      <c r="C281" s="209"/>
      <c r="D281" s="209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</row>
    <row r="282" ht="15.75" customHeight="1">
      <c r="A282" s="207"/>
      <c r="B282" s="207"/>
      <c r="C282" s="209"/>
      <c r="D282" s="209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</row>
    <row r="283" ht="15.75" customHeight="1">
      <c r="A283" s="207"/>
      <c r="B283" s="207"/>
      <c r="C283" s="209"/>
      <c r="D283" s="209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</row>
    <row r="284" ht="15.75" customHeight="1">
      <c r="A284" s="207"/>
      <c r="B284" s="207"/>
      <c r="C284" s="209"/>
      <c r="D284" s="209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</row>
    <row r="285" ht="15.75" customHeight="1">
      <c r="A285" s="207"/>
      <c r="B285" s="207"/>
      <c r="C285" s="209"/>
      <c r="D285" s="209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</row>
    <row r="286" ht="15.75" customHeight="1">
      <c r="A286" s="207"/>
      <c r="B286" s="207"/>
      <c r="C286" s="209"/>
      <c r="D286" s="209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</row>
    <row r="287" ht="15.75" customHeight="1">
      <c r="A287" s="207"/>
      <c r="B287" s="207"/>
      <c r="C287" s="209"/>
      <c r="D287" s="209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</row>
    <row r="288" ht="15.75" customHeight="1">
      <c r="A288" s="207"/>
      <c r="B288" s="207"/>
      <c r="C288" s="209"/>
      <c r="D288" s="209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</row>
    <row r="289" ht="15.75" customHeight="1">
      <c r="A289" s="207"/>
      <c r="B289" s="207"/>
      <c r="C289" s="209"/>
      <c r="D289" s="209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</row>
    <row r="290" ht="15.75" customHeight="1">
      <c r="A290" s="207"/>
      <c r="B290" s="207"/>
      <c r="C290" s="209"/>
      <c r="D290" s="209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</row>
    <row r="291" ht="15.75" customHeight="1">
      <c r="A291" s="207"/>
      <c r="B291" s="207"/>
      <c r="C291" s="209"/>
      <c r="D291" s="209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</row>
    <row r="292" ht="15.75" customHeight="1">
      <c r="A292" s="207"/>
      <c r="B292" s="207"/>
      <c r="C292" s="209"/>
      <c r="D292" s="209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</row>
    <row r="293" ht="15.75" customHeight="1">
      <c r="A293" s="207"/>
      <c r="B293" s="207"/>
      <c r="C293" s="209"/>
      <c r="D293" s="209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</row>
    <row r="294" ht="15.75" customHeight="1">
      <c r="A294" s="207"/>
      <c r="B294" s="207"/>
      <c r="C294" s="209"/>
      <c r="D294" s="209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</row>
    <row r="295" ht="15.75" customHeight="1">
      <c r="A295" s="207"/>
      <c r="B295" s="207"/>
      <c r="C295" s="209"/>
      <c r="D295" s="209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</row>
    <row r="296" ht="15.75" customHeight="1">
      <c r="A296" s="207"/>
      <c r="B296" s="207"/>
      <c r="C296" s="209"/>
      <c r="D296" s="209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</row>
    <row r="297" ht="15.75" customHeight="1">
      <c r="A297" s="207"/>
      <c r="B297" s="207"/>
      <c r="C297" s="209"/>
      <c r="D297" s="209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</row>
    <row r="298" ht="15.75" customHeight="1">
      <c r="A298" s="207"/>
      <c r="B298" s="207"/>
      <c r="C298" s="209"/>
      <c r="D298" s="209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</row>
    <row r="299" ht="15.75" customHeight="1">
      <c r="A299" s="207"/>
      <c r="B299" s="207"/>
      <c r="C299" s="209"/>
      <c r="D299" s="209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</row>
    <row r="300" ht="15.75" customHeight="1">
      <c r="A300" s="207"/>
      <c r="B300" s="207"/>
      <c r="C300" s="209"/>
      <c r="D300" s="209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</row>
    <row r="301" ht="15.75" customHeight="1">
      <c r="A301" s="207"/>
      <c r="B301" s="207"/>
      <c r="C301" s="209"/>
      <c r="D301" s="209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</row>
    <row r="302" ht="15.75" customHeight="1">
      <c r="A302" s="207"/>
      <c r="B302" s="207"/>
      <c r="C302" s="209"/>
      <c r="D302" s="209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</row>
    <row r="303" ht="15.75" customHeight="1">
      <c r="A303" s="207"/>
      <c r="B303" s="207"/>
      <c r="C303" s="209"/>
      <c r="D303" s="209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</row>
    <row r="304" ht="15.75" customHeight="1">
      <c r="A304" s="207"/>
      <c r="B304" s="207"/>
      <c r="C304" s="209"/>
      <c r="D304" s="209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</row>
    <row r="305" ht="15.75" customHeight="1">
      <c r="A305" s="207"/>
      <c r="B305" s="207"/>
      <c r="C305" s="209"/>
      <c r="D305" s="209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</row>
    <row r="306" ht="15.75" customHeight="1">
      <c r="A306" s="207"/>
      <c r="B306" s="207"/>
      <c r="C306" s="209"/>
      <c r="D306" s="209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</row>
    <row r="307" ht="15.75" customHeight="1">
      <c r="A307" s="207"/>
      <c r="B307" s="207"/>
      <c r="C307" s="209"/>
      <c r="D307" s="209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</row>
    <row r="308" ht="15.75" customHeight="1">
      <c r="A308" s="207"/>
      <c r="B308" s="207"/>
      <c r="C308" s="209"/>
      <c r="D308" s="209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</row>
    <row r="309" ht="15.75" customHeight="1">
      <c r="A309" s="207"/>
      <c r="B309" s="207"/>
      <c r="C309" s="209"/>
      <c r="D309" s="209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</row>
    <row r="310" ht="15.75" customHeight="1">
      <c r="A310" s="207"/>
      <c r="B310" s="207"/>
      <c r="C310" s="209"/>
      <c r="D310" s="209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</row>
    <row r="311" ht="15.75" customHeight="1">
      <c r="A311" s="207"/>
      <c r="B311" s="207"/>
      <c r="C311" s="209"/>
      <c r="D311" s="209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</row>
    <row r="312" ht="15.75" customHeight="1">
      <c r="A312" s="207"/>
      <c r="B312" s="207"/>
      <c r="C312" s="209"/>
      <c r="D312" s="209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</row>
    <row r="313" ht="15.75" customHeight="1">
      <c r="A313" s="207"/>
      <c r="B313" s="207"/>
      <c r="C313" s="209"/>
      <c r="D313" s="209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</row>
    <row r="314" ht="15.75" customHeight="1">
      <c r="A314" s="207"/>
      <c r="B314" s="207"/>
      <c r="C314" s="209"/>
      <c r="D314" s="209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</row>
    <row r="315" ht="15.75" customHeight="1">
      <c r="A315" s="207"/>
      <c r="B315" s="207"/>
      <c r="C315" s="209"/>
      <c r="D315" s="209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</row>
    <row r="316" ht="15.75" customHeight="1">
      <c r="A316" s="207"/>
      <c r="B316" s="207"/>
      <c r="C316" s="209"/>
      <c r="D316" s="209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</row>
    <row r="317" ht="15.75" customHeight="1">
      <c r="A317" s="207"/>
      <c r="B317" s="207"/>
      <c r="C317" s="209"/>
      <c r="D317" s="209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</row>
    <row r="318" ht="15.75" customHeight="1">
      <c r="A318" s="207"/>
      <c r="B318" s="207"/>
      <c r="C318" s="209"/>
      <c r="D318" s="209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</row>
    <row r="319" ht="15.75" customHeight="1">
      <c r="A319" s="207"/>
      <c r="B319" s="207"/>
      <c r="C319" s="209"/>
      <c r="D319" s="209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</row>
    <row r="320" ht="15.75" customHeight="1">
      <c r="A320" s="207"/>
      <c r="B320" s="207"/>
      <c r="C320" s="209"/>
      <c r="D320" s="209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</row>
    <row r="321" ht="15.75" customHeight="1">
      <c r="A321" s="207"/>
      <c r="B321" s="207"/>
      <c r="C321" s="209"/>
      <c r="D321" s="209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</row>
    <row r="322" ht="15.75" customHeight="1">
      <c r="A322" s="207"/>
      <c r="B322" s="207"/>
      <c r="C322" s="209"/>
      <c r="D322" s="209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</row>
    <row r="323" ht="15.75" customHeight="1">
      <c r="A323" s="207"/>
      <c r="B323" s="207"/>
      <c r="C323" s="209"/>
      <c r="D323" s="209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</row>
    <row r="324" ht="15.75" customHeight="1">
      <c r="A324" s="207"/>
      <c r="B324" s="207"/>
      <c r="C324" s="209"/>
      <c r="D324" s="209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</row>
    <row r="325" ht="15.75" customHeight="1">
      <c r="A325" s="207"/>
      <c r="B325" s="207"/>
      <c r="C325" s="209"/>
      <c r="D325" s="209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</row>
    <row r="326" ht="15.75" customHeight="1">
      <c r="A326" s="207"/>
      <c r="B326" s="207"/>
      <c r="C326" s="209"/>
      <c r="D326" s="209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</row>
    <row r="327" ht="15.75" customHeight="1">
      <c r="A327" s="207"/>
      <c r="B327" s="207"/>
      <c r="C327" s="209"/>
      <c r="D327" s="209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</row>
    <row r="328" ht="15.75" customHeight="1">
      <c r="A328" s="207"/>
      <c r="B328" s="207"/>
      <c r="C328" s="209"/>
      <c r="D328" s="209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</row>
    <row r="329" ht="15.75" customHeight="1">
      <c r="A329" s="207"/>
      <c r="B329" s="207"/>
      <c r="C329" s="209"/>
      <c r="D329" s="209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</row>
    <row r="330" ht="15.75" customHeight="1">
      <c r="A330" s="207"/>
      <c r="B330" s="207"/>
      <c r="C330" s="209"/>
      <c r="D330" s="209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</row>
    <row r="331" ht="15.75" customHeight="1">
      <c r="A331" s="207"/>
      <c r="B331" s="207"/>
      <c r="C331" s="209"/>
      <c r="D331" s="209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</row>
    <row r="332" ht="15.75" customHeight="1">
      <c r="A332" s="207"/>
      <c r="B332" s="207"/>
      <c r="C332" s="209"/>
      <c r="D332" s="209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</row>
    <row r="333" ht="15.75" customHeight="1">
      <c r="A333" s="207"/>
      <c r="B333" s="207"/>
      <c r="C333" s="209"/>
      <c r="D333" s="209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</row>
    <row r="334" ht="15.75" customHeight="1">
      <c r="A334" s="207"/>
      <c r="B334" s="207"/>
      <c r="C334" s="209"/>
      <c r="D334" s="209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</row>
    <row r="335" ht="15.75" customHeight="1">
      <c r="A335" s="207"/>
      <c r="B335" s="207"/>
      <c r="C335" s="209"/>
      <c r="D335" s="209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</row>
    <row r="336" ht="15.75" customHeight="1">
      <c r="A336" s="207"/>
      <c r="B336" s="207"/>
      <c r="C336" s="209"/>
      <c r="D336" s="209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</row>
    <row r="337" ht="15.75" customHeight="1">
      <c r="A337" s="207"/>
      <c r="B337" s="207"/>
      <c r="C337" s="209"/>
      <c r="D337" s="209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</row>
    <row r="338" ht="15.75" customHeight="1">
      <c r="A338" s="207"/>
      <c r="B338" s="207"/>
      <c r="C338" s="209"/>
      <c r="D338" s="209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</row>
    <row r="339" ht="15.75" customHeight="1">
      <c r="A339" s="207"/>
      <c r="B339" s="207"/>
      <c r="C339" s="209"/>
      <c r="D339" s="209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</row>
    <row r="340" ht="15.75" customHeight="1">
      <c r="A340" s="207"/>
      <c r="B340" s="207"/>
      <c r="C340" s="209"/>
      <c r="D340" s="209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</row>
    <row r="341" ht="15.75" customHeight="1">
      <c r="A341" s="207"/>
      <c r="B341" s="207"/>
      <c r="C341" s="209"/>
      <c r="D341" s="209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</row>
    <row r="342" ht="15.75" customHeight="1">
      <c r="A342" s="207"/>
      <c r="B342" s="207"/>
      <c r="C342" s="209"/>
      <c r="D342" s="209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</row>
    <row r="343" ht="15.75" customHeight="1">
      <c r="A343" s="207"/>
      <c r="B343" s="207"/>
      <c r="C343" s="209"/>
      <c r="D343" s="209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</row>
    <row r="344" ht="15.75" customHeight="1">
      <c r="A344" s="207"/>
      <c r="B344" s="207"/>
      <c r="C344" s="209"/>
      <c r="D344" s="209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</row>
    <row r="345" ht="15.75" customHeight="1">
      <c r="A345" s="207"/>
      <c r="B345" s="207"/>
      <c r="C345" s="209"/>
      <c r="D345" s="209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</row>
    <row r="346" ht="15.75" customHeight="1">
      <c r="A346" s="207"/>
      <c r="B346" s="207"/>
      <c r="C346" s="209"/>
      <c r="D346" s="209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</row>
    <row r="347" ht="15.75" customHeight="1">
      <c r="A347" s="207"/>
      <c r="B347" s="207"/>
      <c r="C347" s="209"/>
      <c r="D347" s="209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</row>
    <row r="348" ht="15.75" customHeight="1">
      <c r="A348" s="207"/>
      <c r="B348" s="207"/>
      <c r="C348" s="209"/>
      <c r="D348" s="209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</row>
    <row r="349" ht="15.75" customHeight="1">
      <c r="A349" s="207"/>
      <c r="B349" s="207"/>
      <c r="C349" s="209"/>
      <c r="D349" s="209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</row>
    <row r="350" ht="15.75" customHeight="1">
      <c r="A350" s="207"/>
      <c r="B350" s="207"/>
      <c r="C350" s="209"/>
      <c r="D350" s="209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</row>
    <row r="351" ht="15.75" customHeight="1">
      <c r="A351" s="207"/>
      <c r="B351" s="207"/>
      <c r="C351" s="209"/>
      <c r="D351" s="209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</row>
    <row r="352" ht="15.75" customHeight="1">
      <c r="A352" s="207"/>
      <c r="B352" s="207"/>
      <c r="C352" s="209"/>
      <c r="D352" s="209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</row>
    <row r="353" ht="15.75" customHeight="1">
      <c r="A353" s="207"/>
      <c r="B353" s="207"/>
      <c r="C353" s="209"/>
      <c r="D353" s="209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</row>
    <row r="354" ht="15.75" customHeight="1">
      <c r="A354" s="207"/>
      <c r="B354" s="207"/>
      <c r="C354" s="209"/>
      <c r="D354" s="209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</row>
    <row r="355" ht="15.75" customHeight="1">
      <c r="A355" s="207"/>
      <c r="B355" s="207"/>
      <c r="C355" s="209"/>
      <c r="D355" s="209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</row>
    <row r="356" ht="15.75" customHeight="1">
      <c r="A356" s="207"/>
      <c r="B356" s="207"/>
      <c r="C356" s="209"/>
      <c r="D356" s="209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</row>
    <row r="357" ht="15.75" customHeight="1">
      <c r="A357" s="207"/>
      <c r="B357" s="207"/>
      <c r="C357" s="209"/>
      <c r="D357" s="209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</row>
    <row r="358" ht="15.75" customHeight="1">
      <c r="A358" s="207"/>
      <c r="B358" s="207"/>
      <c r="C358" s="209"/>
      <c r="D358" s="209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</row>
    <row r="359" ht="15.75" customHeight="1">
      <c r="A359" s="207"/>
      <c r="B359" s="207"/>
      <c r="C359" s="209"/>
      <c r="D359" s="209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</row>
    <row r="360" ht="15.75" customHeight="1">
      <c r="A360" s="207"/>
      <c r="B360" s="207"/>
      <c r="C360" s="209"/>
      <c r="D360" s="209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</row>
    <row r="361" ht="15.75" customHeight="1">
      <c r="A361" s="207"/>
      <c r="B361" s="207"/>
      <c r="C361" s="209"/>
      <c r="D361" s="209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</row>
    <row r="362" ht="15.75" customHeight="1">
      <c r="A362" s="207"/>
      <c r="B362" s="207"/>
      <c r="C362" s="209"/>
      <c r="D362" s="209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</row>
    <row r="363" ht="15.75" customHeight="1">
      <c r="A363" s="207"/>
      <c r="B363" s="207"/>
      <c r="C363" s="209"/>
      <c r="D363" s="209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</row>
    <row r="364" ht="15.75" customHeight="1">
      <c r="A364" s="207"/>
      <c r="B364" s="207"/>
      <c r="C364" s="209"/>
      <c r="D364" s="209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</row>
    <row r="365" ht="15.75" customHeight="1">
      <c r="A365" s="207"/>
      <c r="B365" s="207"/>
      <c r="C365" s="209"/>
      <c r="D365" s="209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</row>
    <row r="366" ht="15.75" customHeight="1">
      <c r="A366" s="207"/>
      <c r="B366" s="207"/>
      <c r="C366" s="209"/>
      <c r="D366" s="209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</row>
    <row r="367" ht="15.75" customHeight="1">
      <c r="A367" s="207"/>
      <c r="B367" s="207"/>
      <c r="C367" s="209"/>
      <c r="D367" s="209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</row>
    <row r="368" ht="15.75" customHeight="1">
      <c r="A368" s="207"/>
      <c r="B368" s="207"/>
      <c r="C368" s="209"/>
      <c r="D368" s="209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</row>
    <row r="369" ht="15.75" customHeight="1">
      <c r="A369" s="207"/>
      <c r="B369" s="207"/>
      <c r="C369" s="209"/>
      <c r="D369" s="209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</row>
    <row r="370" ht="15.75" customHeight="1">
      <c r="A370" s="207"/>
      <c r="B370" s="207"/>
      <c r="C370" s="209"/>
      <c r="D370" s="209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</row>
    <row r="371" ht="15.75" customHeight="1">
      <c r="A371" s="207"/>
      <c r="B371" s="207"/>
      <c r="C371" s="209"/>
      <c r="D371" s="209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</row>
    <row r="372" ht="15.75" customHeight="1">
      <c r="A372" s="207"/>
      <c r="B372" s="207"/>
      <c r="C372" s="209"/>
      <c r="D372" s="209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</row>
    <row r="373" ht="15.75" customHeight="1">
      <c r="A373" s="207"/>
      <c r="B373" s="207"/>
      <c r="C373" s="209"/>
      <c r="D373" s="209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</row>
    <row r="374" ht="15.75" customHeight="1">
      <c r="A374" s="207"/>
      <c r="B374" s="207"/>
      <c r="C374" s="209"/>
      <c r="D374" s="209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</row>
    <row r="375" ht="15.75" customHeight="1">
      <c r="A375" s="207"/>
      <c r="B375" s="207"/>
      <c r="C375" s="209"/>
      <c r="D375" s="209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</row>
    <row r="376" ht="15.75" customHeight="1">
      <c r="A376" s="207"/>
      <c r="B376" s="207"/>
      <c r="C376" s="209"/>
      <c r="D376" s="209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</row>
    <row r="377" ht="15.75" customHeight="1">
      <c r="A377" s="207"/>
      <c r="B377" s="207"/>
      <c r="C377" s="209"/>
      <c r="D377" s="209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</row>
    <row r="378" ht="15.75" customHeight="1">
      <c r="A378" s="207"/>
      <c r="B378" s="207"/>
      <c r="C378" s="209"/>
      <c r="D378" s="209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</row>
    <row r="379" ht="15.75" customHeight="1">
      <c r="A379" s="207"/>
      <c r="B379" s="207"/>
      <c r="C379" s="209"/>
      <c r="D379" s="209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</row>
    <row r="380" ht="15.75" customHeight="1">
      <c r="A380" s="207"/>
      <c r="B380" s="207"/>
      <c r="C380" s="209"/>
      <c r="D380" s="209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</row>
    <row r="381" ht="15.75" customHeight="1">
      <c r="A381" s="207"/>
      <c r="B381" s="207"/>
      <c r="C381" s="209"/>
      <c r="D381" s="209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</row>
    <row r="382" ht="15.75" customHeight="1">
      <c r="A382" s="207"/>
      <c r="B382" s="207"/>
      <c r="C382" s="209"/>
      <c r="D382" s="209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</row>
    <row r="383" ht="15.75" customHeight="1">
      <c r="A383" s="207"/>
      <c r="B383" s="207"/>
      <c r="C383" s="209"/>
      <c r="D383" s="209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</row>
    <row r="384" ht="15.75" customHeight="1">
      <c r="A384" s="207"/>
      <c r="B384" s="207"/>
      <c r="C384" s="209"/>
      <c r="D384" s="209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</row>
    <row r="385" ht="15.75" customHeight="1">
      <c r="A385" s="207"/>
      <c r="B385" s="207"/>
      <c r="C385" s="209"/>
      <c r="D385" s="209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</row>
    <row r="386" ht="15.75" customHeight="1">
      <c r="A386" s="207"/>
      <c r="B386" s="207"/>
      <c r="C386" s="209"/>
      <c r="D386" s="209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</row>
    <row r="387" ht="15.75" customHeight="1">
      <c r="A387" s="207"/>
      <c r="B387" s="207"/>
      <c r="C387" s="209"/>
      <c r="D387" s="209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</row>
    <row r="388" ht="15.75" customHeight="1">
      <c r="A388" s="207"/>
      <c r="B388" s="207"/>
      <c r="C388" s="209"/>
      <c r="D388" s="209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</row>
    <row r="389" ht="15.75" customHeight="1">
      <c r="A389" s="207"/>
      <c r="B389" s="207"/>
      <c r="C389" s="209"/>
      <c r="D389" s="209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</row>
    <row r="390" ht="15.75" customHeight="1">
      <c r="A390" s="207"/>
      <c r="B390" s="207"/>
      <c r="C390" s="209"/>
      <c r="D390" s="209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</row>
    <row r="391" ht="15.75" customHeight="1">
      <c r="A391" s="207"/>
      <c r="B391" s="207"/>
      <c r="C391" s="209"/>
      <c r="D391" s="209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</row>
    <row r="392" ht="15.75" customHeight="1">
      <c r="A392" s="207"/>
      <c r="B392" s="207"/>
      <c r="C392" s="209"/>
      <c r="D392" s="209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</row>
    <row r="393" ht="15.75" customHeight="1">
      <c r="A393" s="207"/>
      <c r="B393" s="207"/>
      <c r="C393" s="209"/>
      <c r="D393" s="209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</row>
    <row r="394" ht="15.75" customHeight="1">
      <c r="A394" s="207"/>
      <c r="B394" s="207"/>
      <c r="C394" s="209"/>
      <c r="D394" s="209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</row>
    <row r="395" ht="15.75" customHeight="1">
      <c r="A395" s="207"/>
      <c r="B395" s="207"/>
      <c r="C395" s="209"/>
      <c r="D395" s="209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</row>
    <row r="396" ht="15.75" customHeight="1">
      <c r="A396" s="207"/>
      <c r="B396" s="207"/>
      <c r="C396" s="209"/>
      <c r="D396" s="209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</row>
    <row r="397" ht="15.75" customHeight="1">
      <c r="A397" s="207"/>
      <c r="B397" s="207"/>
      <c r="C397" s="209"/>
      <c r="D397" s="209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</row>
    <row r="398" ht="15.75" customHeight="1">
      <c r="A398" s="207"/>
      <c r="B398" s="207"/>
      <c r="C398" s="209"/>
      <c r="D398" s="209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</row>
    <row r="399" ht="15.75" customHeight="1">
      <c r="A399" s="207"/>
      <c r="B399" s="207"/>
      <c r="C399" s="209"/>
      <c r="D399" s="209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</row>
    <row r="400" ht="15.75" customHeight="1">
      <c r="A400" s="207"/>
      <c r="B400" s="207"/>
      <c r="C400" s="209"/>
      <c r="D400" s="209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</row>
    <row r="401" ht="15.75" customHeight="1">
      <c r="A401" s="207"/>
      <c r="B401" s="207"/>
      <c r="C401" s="209"/>
      <c r="D401" s="209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</row>
    <row r="402" ht="15.75" customHeight="1">
      <c r="A402" s="207"/>
      <c r="B402" s="207"/>
      <c r="C402" s="209"/>
      <c r="D402" s="209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</row>
    <row r="403" ht="15.75" customHeight="1">
      <c r="A403" s="207"/>
      <c r="B403" s="207"/>
      <c r="C403" s="209"/>
      <c r="D403" s="209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</row>
    <row r="404" ht="15.75" customHeight="1">
      <c r="A404" s="207"/>
      <c r="B404" s="207"/>
      <c r="C404" s="209"/>
      <c r="D404" s="209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</row>
    <row r="405" ht="15.75" customHeight="1">
      <c r="A405" s="207"/>
      <c r="B405" s="207"/>
      <c r="C405" s="209"/>
      <c r="D405" s="209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</row>
    <row r="406" ht="15.75" customHeight="1">
      <c r="A406" s="207"/>
      <c r="B406" s="207"/>
      <c r="C406" s="209"/>
      <c r="D406" s="209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</row>
    <row r="407" ht="15.75" customHeight="1">
      <c r="A407" s="207"/>
      <c r="B407" s="207"/>
      <c r="C407" s="209"/>
      <c r="D407" s="209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</row>
    <row r="408" ht="15.75" customHeight="1">
      <c r="A408" s="207"/>
      <c r="B408" s="207"/>
      <c r="C408" s="209"/>
      <c r="D408" s="209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</row>
    <row r="409" ht="15.75" customHeight="1">
      <c r="A409" s="207"/>
      <c r="B409" s="207"/>
      <c r="C409" s="209"/>
      <c r="D409" s="209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</row>
    <row r="410" ht="15.75" customHeight="1">
      <c r="A410" s="207"/>
      <c r="B410" s="207"/>
      <c r="C410" s="209"/>
      <c r="D410" s="209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</row>
    <row r="411" ht="15.75" customHeight="1">
      <c r="A411" s="207"/>
      <c r="B411" s="207"/>
      <c r="C411" s="209"/>
      <c r="D411" s="209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</row>
    <row r="412" ht="15.75" customHeight="1">
      <c r="A412" s="207"/>
      <c r="B412" s="207"/>
      <c r="C412" s="209"/>
      <c r="D412" s="209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</row>
    <row r="413" ht="15.75" customHeight="1">
      <c r="A413" s="207"/>
      <c r="B413" s="207"/>
      <c r="C413" s="209"/>
      <c r="D413" s="209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</row>
    <row r="414" ht="15.75" customHeight="1">
      <c r="A414" s="207"/>
      <c r="B414" s="207"/>
      <c r="C414" s="209"/>
      <c r="D414" s="209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</row>
    <row r="415" ht="15.75" customHeight="1">
      <c r="A415" s="207"/>
      <c r="B415" s="207"/>
      <c r="C415" s="209"/>
      <c r="D415" s="209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</row>
    <row r="416" ht="15.75" customHeight="1">
      <c r="A416" s="207"/>
      <c r="B416" s="207"/>
      <c r="C416" s="209"/>
      <c r="D416" s="209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</row>
    <row r="417" ht="15.75" customHeight="1">
      <c r="A417" s="207"/>
      <c r="B417" s="207"/>
      <c r="C417" s="209"/>
      <c r="D417" s="209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</row>
    <row r="418" ht="15.75" customHeight="1">
      <c r="A418" s="207"/>
      <c r="B418" s="207"/>
      <c r="C418" s="209"/>
      <c r="D418" s="209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</row>
    <row r="419" ht="15.75" customHeight="1">
      <c r="A419" s="207"/>
      <c r="B419" s="207"/>
      <c r="C419" s="209"/>
      <c r="D419" s="209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</row>
    <row r="420" ht="15.75" customHeight="1">
      <c r="A420" s="207"/>
      <c r="B420" s="207"/>
      <c r="C420" s="209"/>
      <c r="D420" s="209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</row>
    <row r="421" ht="15.75" customHeight="1">
      <c r="A421" s="207"/>
      <c r="B421" s="207"/>
      <c r="C421" s="209"/>
      <c r="D421" s="209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</row>
    <row r="422" ht="15.75" customHeight="1">
      <c r="A422" s="207"/>
      <c r="B422" s="207"/>
      <c r="C422" s="209"/>
      <c r="D422" s="209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</row>
    <row r="423" ht="15.75" customHeight="1">
      <c r="A423" s="207"/>
      <c r="B423" s="207"/>
      <c r="C423" s="209"/>
      <c r="D423" s="209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</row>
    <row r="424" ht="15.75" customHeight="1">
      <c r="A424" s="207"/>
      <c r="B424" s="207"/>
      <c r="C424" s="209"/>
      <c r="D424" s="209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</row>
    <row r="425" ht="15.75" customHeight="1">
      <c r="A425" s="207"/>
      <c r="B425" s="207"/>
      <c r="C425" s="209"/>
      <c r="D425" s="209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</row>
    <row r="426" ht="15.75" customHeight="1">
      <c r="A426" s="207"/>
      <c r="B426" s="207"/>
      <c r="C426" s="209"/>
      <c r="D426" s="209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</row>
    <row r="427" ht="15.75" customHeight="1">
      <c r="A427" s="207"/>
      <c r="B427" s="207"/>
      <c r="C427" s="209"/>
      <c r="D427" s="209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</row>
    <row r="428" ht="15.75" customHeight="1">
      <c r="A428" s="207"/>
      <c r="B428" s="207"/>
      <c r="C428" s="209"/>
      <c r="D428" s="209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</row>
    <row r="429" ht="15.75" customHeight="1">
      <c r="A429" s="207"/>
      <c r="B429" s="207"/>
      <c r="C429" s="209"/>
      <c r="D429" s="209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</row>
    <row r="430" ht="15.75" customHeight="1">
      <c r="A430" s="207"/>
      <c r="B430" s="207"/>
      <c r="C430" s="209"/>
      <c r="D430" s="209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</row>
    <row r="431" ht="15.75" customHeight="1">
      <c r="A431" s="207"/>
      <c r="B431" s="207"/>
      <c r="C431" s="209"/>
      <c r="D431" s="209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</row>
    <row r="432" ht="15.75" customHeight="1">
      <c r="A432" s="207"/>
      <c r="B432" s="207"/>
      <c r="C432" s="209"/>
      <c r="D432" s="209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</row>
    <row r="433" ht="15.75" customHeight="1">
      <c r="A433" s="207"/>
      <c r="B433" s="207"/>
      <c r="C433" s="209"/>
      <c r="D433" s="209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</row>
    <row r="434" ht="15.75" customHeight="1">
      <c r="A434" s="207"/>
      <c r="B434" s="207"/>
      <c r="C434" s="209"/>
      <c r="D434" s="209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</row>
    <row r="435" ht="15.75" customHeight="1">
      <c r="A435" s="207"/>
      <c r="B435" s="207"/>
      <c r="C435" s="209"/>
      <c r="D435" s="209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</row>
    <row r="436" ht="15.75" customHeight="1">
      <c r="A436" s="207"/>
      <c r="B436" s="207"/>
      <c r="C436" s="209"/>
      <c r="D436" s="209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</row>
    <row r="437" ht="15.75" customHeight="1">
      <c r="A437" s="207"/>
      <c r="B437" s="207"/>
      <c r="C437" s="209"/>
      <c r="D437" s="209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</row>
    <row r="438" ht="15.75" customHeight="1">
      <c r="A438" s="207"/>
      <c r="B438" s="207"/>
      <c r="C438" s="209"/>
      <c r="D438" s="209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</row>
    <row r="439" ht="15.75" customHeight="1">
      <c r="A439" s="207"/>
      <c r="B439" s="207"/>
      <c r="C439" s="209"/>
      <c r="D439" s="209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</row>
    <row r="440" ht="15.75" customHeight="1">
      <c r="A440" s="207"/>
      <c r="B440" s="207"/>
      <c r="C440" s="209"/>
      <c r="D440" s="209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</row>
    <row r="441" ht="15.75" customHeight="1">
      <c r="A441" s="207"/>
      <c r="B441" s="207"/>
      <c r="C441" s="209"/>
      <c r="D441" s="209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</row>
    <row r="442" ht="15.75" customHeight="1">
      <c r="A442" s="207"/>
      <c r="B442" s="207"/>
      <c r="C442" s="209"/>
      <c r="D442" s="209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</row>
    <row r="443" ht="15.75" customHeight="1">
      <c r="A443" s="207"/>
      <c r="B443" s="207"/>
      <c r="C443" s="209"/>
      <c r="D443" s="209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</row>
    <row r="444" ht="15.75" customHeight="1">
      <c r="A444" s="207"/>
      <c r="B444" s="207"/>
      <c r="C444" s="209"/>
      <c r="D444" s="209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</row>
    <row r="445" ht="15.75" customHeight="1">
      <c r="A445" s="207"/>
      <c r="B445" s="207"/>
      <c r="C445" s="209"/>
      <c r="D445" s="209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</row>
    <row r="446" ht="15.75" customHeight="1">
      <c r="A446" s="207"/>
      <c r="B446" s="207"/>
      <c r="C446" s="209"/>
      <c r="D446" s="209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</row>
    <row r="447" ht="15.75" customHeight="1">
      <c r="A447" s="207"/>
      <c r="B447" s="207"/>
      <c r="C447" s="209"/>
      <c r="D447" s="209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</row>
    <row r="448" ht="15.75" customHeight="1">
      <c r="A448" s="207"/>
      <c r="B448" s="207"/>
      <c r="C448" s="209"/>
      <c r="D448" s="209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</row>
    <row r="449" ht="15.75" customHeight="1">
      <c r="A449" s="207"/>
      <c r="B449" s="207"/>
      <c r="C449" s="209"/>
      <c r="D449" s="209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</row>
    <row r="450" ht="15.75" customHeight="1">
      <c r="A450" s="207"/>
      <c r="B450" s="207"/>
      <c r="C450" s="209"/>
      <c r="D450" s="209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</row>
    <row r="451" ht="15.75" customHeight="1">
      <c r="A451" s="207"/>
      <c r="B451" s="207"/>
      <c r="C451" s="209"/>
      <c r="D451" s="209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</row>
    <row r="452" ht="15.75" customHeight="1">
      <c r="A452" s="207"/>
      <c r="B452" s="207"/>
      <c r="C452" s="209"/>
      <c r="D452" s="209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</row>
    <row r="453" ht="15.75" customHeight="1">
      <c r="A453" s="207"/>
      <c r="B453" s="207"/>
      <c r="C453" s="209"/>
      <c r="D453" s="209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</row>
    <row r="454" ht="15.75" customHeight="1">
      <c r="A454" s="207"/>
      <c r="B454" s="207"/>
      <c r="C454" s="209"/>
      <c r="D454" s="209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</row>
    <row r="455" ht="15.75" customHeight="1">
      <c r="A455" s="207"/>
      <c r="B455" s="207"/>
      <c r="C455" s="209"/>
      <c r="D455" s="209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</row>
    <row r="456" ht="15.75" customHeight="1">
      <c r="A456" s="207"/>
      <c r="B456" s="207"/>
      <c r="C456" s="209"/>
      <c r="D456" s="209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</row>
    <row r="457" ht="15.75" customHeight="1">
      <c r="A457" s="207"/>
      <c r="B457" s="207"/>
      <c r="C457" s="209"/>
      <c r="D457" s="209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</row>
    <row r="458" ht="15.75" customHeight="1">
      <c r="A458" s="207"/>
      <c r="B458" s="207"/>
      <c r="C458" s="209"/>
      <c r="D458" s="209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</row>
    <row r="459" ht="15.75" customHeight="1">
      <c r="A459" s="207"/>
      <c r="B459" s="207"/>
      <c r="C459" s="209"/>
      <c r="D459" s="209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</row>
    <row r="460" ht="15.75" customHeight="1">
      <c r="A460" s="207"/>
      <c r="B460" s="207"/>
      <c r="C460" s="209"/>
      <c r="D460" s="209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</row>
    <row r="461" ht="15.75" customHeight="1">
      <c r="A461" s="207"/>
      <c r="B461" s="207"/>
      <c r="C461" s="209"/>
      <c r="D461" s="209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</row>
    <row r="462" ht="15.75" customHeight="1">
      <c r="A462" s="207"/>
      <c r="B462" s="207"/>
      <c r="C462" s="209"/>
      <c r="D462" s="209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</row>
    <row r="463" ht="15.75" customHeight="1">
      <c r="A463" s="207"/>
      <c r="B463" s="207"/>
      <c r="C463" s="209"/>
      <c r="D463" s="209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</row>
    <row r="464" ht="15.75" customHeight="1">
      <c r="A464" s="207"/>
      <c r="B464" s="207"/>
      <c r="C464" s="209"/>
      <c r="D464" s="209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</row>
    <row r="465" ht="15.75" customHeight="1">
      <c r="A465" s="207"/>
      <c r="B465" s="207"/>
      <c r="C465" s="209"/>
      <c r="D465" s="209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</row>
    <row r="466" ht="15.75" customHeight="1">
      <c r="A466" s="207"/>
      <c r="B466" s="207"/>
      <c r="C466" s="209"/>
      <c r="D466" s="209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</row>
    <row r="467" ht="15.75" customHeight="1">
      <c r="A467" s="207"/>
      <c r="B467" s="207"/>
      <c r="C467" s="209"/>
      <c r="D467" s="209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</row>
    <row r="468" ht="15.75" customHeight="1">
      <c r="A468" s="207"/>
      <c r="B468" s="207"/>
      <c r="C468" s="209"/>
      <c r="D468" s="209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</row>
    <row r="469" ht="15.75" customHeight="1">
      <c r="A469" s="207"/>
      <c r="B469" s="207"/>
      <c r="C469" s="209"/>
      <c r="D469" s="209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</row>
    <row r="470" ht="15.75" customHeight="1">
      <c r="A470" s="207"/>
      <c r="B470" s="207"/>
      <c r="C470" s="209"/>
      <c r="D470" s="209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</row>
    <row r="471" ht="15.75" customHeight="1">
      <c r="A471" s="207"/>
      <c r="B471" s="207"/>
      <c r="C471" s="209"/>
      <c r="D471" s="209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</row>
    <row r="472" ht="15.75" customHeight="1">
      <c r="A472" s="207"/>
      <c r="B472" s="207"/>
      <c r="C472" s="209"/>
      <c r="D472" s="209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</row>
    <row r="473" ht="15.75" customHeight="1">
      <c r="A473" s="207"/>
      <c r="B473" s="207"/>
      <c r="C473" s="209"/>
      <c r="D473" s="209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</row>
    <row r="474" ht="15.75" customHeight="1">
      <c r="A474" s="207"/>
      <c r="B474" s="207"/>
      <c r="C474" s="209"/>
      <c r="D474" s="209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</row>
    <row r="475" ht="15.75" customHeight="1">
      <c r="A475" s="207"/>
      <c r="B475" s="207"/>
      <c r="C475" s="209"/>
      <c r="D475" s="209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</row>
    <row r="476" ht="15.75" customHeight="1">
      <c r="A476" s="207"/>
      <c r="B476" s="207"/>
      <c r="C476" s="209"/>
      <c r="D476" s="209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</row>
    <row r="477" ht="15.75" customHeight="1">
      <c r="A477" s="207"/>
      <c r="B477" s="207"/>
      <c r="C477" s="209"/>
      <c r="D477" s="209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</row>
    <row r="478" ht="15.75" customHeight="1">
      <c r="A478" s="207"/>
      <c r="B478" s="207"/>
      <c r="C478" s="209"/>
      <c r="D478" s="209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</row>
    <row r="479" ht="15.75" customHeight="1">
      <c r="A479" s="207"/>
      <c r="B479" s="207"/>
      <c r="C479" s="209"/>
      <c r="D479" s="209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</row>
    <row r="480" ht="15.75" customHeight="1">
      <c r="A480" s="207"/>
      <c r="B480" s="207"/>
      <c r="C480" s="209"/>
      <c r="D480" s="209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</row>
    <row r="481" ht="15.75" customHeight="1">
      <c r="A481" s="207"/>
      <c r="B481" s="207"/>
      <c r="C481" s="209"/>
      <c r="D481" s="209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</row>
    <row r="482" ht="15.75" customHeight="1">
      <c r="A482" s="207"/>
      <c r="B482" s="207"/>
      <c r="C482" s="209"/>
      <c r="D482" s="209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</row>
    <row r="483" ht="15.75" customHeight="1">
      <c r="A483" s="207"/>
      <c r="B483" s="207"/>
      <c r="C483" s="209"/>
      <c r="D483" s="209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</row>
    <row r="484" ht="15.75" customHeight="1">
      <c r="A484" s="207"/>
      <c r="B484" s="207"/>
      <c r="C484" s="209"/>
      <c r="D484" s="209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</row>
    <row r="485" ht="15.75" customHeight="1">
      <c r="A485" s="207"/>
      <c r="B485" s="207"/>
      <c r="C485" s="209"/>
      <c r="D485" s="209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</row>
    <row r="486" ht="15.75" customHeight="1">
      <c r="A486" s="207"/>
      <c r="B486" s="207"/>
      <c r="C486" s="209"/>
      <c r="D486" s="209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</row>
    <row r="487" ht="15.75" customHeight="1">
      <c r="A487" s="207"/>
      <c r="B487" s="207"/>
      <c r="C487" s="209"/>
      <c r="D487" s="209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</row>
    <row r="488" ht="15.75" customHeight="1">
      <c r="A488" s="207"/>
      <c r="B488" s="207"/>
      <c r="C488" s="209"/>
      <c r="D488" s="209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</row>
    <row r="489" ht="15.75" customHeight="1">
      <c r="A489" s="207"/>
      <c r="B489" s="207"/>
      <c r="C489" s="209"/>
      <c r="D489" s="209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</row>
    <row r="490" ht="15.75" customHeight="1">
      <c r="A490" s="207"/>
      <c r="B490" s="207"/>
      <c r="C490" s="209"/>
      <c r="D490" s="209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</row>
    <row r="491" ht="15.75" customHeight="1">
      <c r="A491" s="207"/>
      <c r="B491" s="207"/>
      <c r="C491" s="209"/>
      <c r="D491" s="209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</row>
    <row r="492" ht="15.75" customHeight="1">
      <c r="A492" s="207"/>
      <c r="B492" s="207"/>
      <c r="C492" s="209"/>
      <c r="D492" s="209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</row>
    <row r="493" ht="15.75" customHeight="1">
      <c r="A493" s="207"/>
      <c r="B493" s="207"/>
      <c r="C493" s="209"/>
      <c r="D493" s="209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</row>
    <row r="494" ht="15.75" customHeight="1">
      <c r="A494" s="207"/>
      <c r="B494" s="207"/>
      <c r="C494" s="209"/>
      <c r="D494" s="209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</row>
    <row r="495" ht="15.75" customHeight="1">
      <c r="A495" s="207"/>
      <c r="B495" s="207"/>
      <c r="C495" s="209"/>
      <c r="D495" s="209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</row>
    <row r="496" ht="15.75" customHeight="1">
      <c r="A496" s="207"/>
      <c r="B496" s="207"/>
      <c r="C496" s="209"/>
      <c r="D496" s="209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</row>
    <row r="497" ht="15.75" customHeight="1">
      <c r="A497" s="207"/>
      <c r="B497" s="207"/>
      <c r="C497" s="209"/>
      <c r="D497" s="209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</row>
    <row r="498" ht="15.75" customHeight="1">
      <c r="A498" s="207"/>
      <c r="B498" s="207"/>
      <c r="C498" s="209"/>
      <c r="D498" s="209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</row>
    <row r="499" ht="15.75" customHeight="1">
      <c r="A499" s="207"/>
      <c r="B499" s="207"/>
      <c r="C499" s="209"/>
      <c r="D499" s="209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</row>
    <row r="500" ht="15.75" customHeight="1">
      <c r="A500" s="207"/>
      <c r="B500" s="207"/>
      <c r="C500" s="209"/>
      <c r="D500" s="209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</row>
    <row r="501" ht="15.75" customHeight="1">
      <c r="A501" s="207"/>
      <c r="B501" s="207"/>
      <c r="C501" s="209"/>
      <c r="D501" s="209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</row>
    <row r="502" ht="15.75" customHeight="1">
      <c r="A502" s="207"/>
      <c r="B502" s="207"/>
      <c r="C502" s="209"/>
      <c r="D502" s="209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</row>
    <row r="503" ht="15.75" customHeight="1">
      <c r="A503" s="207"/>
      <c r="B503" s="207"/>
      <c r="C503" s="209"/>
      <c r="D503" s="209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</row>
    <row r="504" ht="15.75" customHeight="1">
      <c r="A504" s="207"/>
      <c r="B504" s="207"/>
      <c r="C504" s="209"/>
      <c r="D504" s="209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</row>
    <row r="505" ht="15.75" customHeight="1">
      <c r="A505" s="207"/>
      <c r="B505" s="207"/>
      <c r="C505" s="209"/>
      <c r="D505" s="209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</row>
    <row r="506" ht="15.75" customHeight="1">
      <c r="A506" s="207"/>
      <c r="B506" s="207"/>
      <c r="C506" s="209"/>
      <c r="D506" s="209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</row>
    <row r="507" ht="15.75" customHeight="1">
      <c r="A507" s="207"/>
      <c r="B507" s="207"/>
      <c r="C507" s="209"/>
      <c r="D507" s="209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</row>
    <row r="508" ht="15.75" customHeight="1">
      <c r="A508" s="207"/>
      <c r="B508" s="207"/>
      <c r="C508" s="209"/>
      <c r="D508" s="209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</row>
    <row r="509" ht="15.75" customHeight="1">
      <c r="A509" s="207"/>
      <c r="B509" s="207"/>
      <c r="C509" s="209"/>
      <c r="D509" s="209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</row>
    <row r="510" ht="15.75" customHeight="1">
      <c r="A510" s="207"/>
      <c r="B510" s="207"/>
      <c r="C510" s="209"/>
      <c r="D510" s="209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</row>
    <row r="511" ht="15.75" customHeight="1">
      <c r="A511" s="207"/>
      <c r="B511" s="207"/>
      <c r="C511" s="209"/>
      <c r="D511" s="209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</row>
    <row r="512" ht="15.75" customHeight="1">
      <c r="A512" s="207"/>
      <c r="B512" s="207"/>
      <c r="C512" s="209"/>
      <c r="D512" s="209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</row>
    <row r="513" ht="15.75" customHeight="1">
      <c r="A513" s="207"/>
      <c r="B513" s="207"/>
      <c r="C513" s="209"/>
      <c r="D513" s="209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</row>
    <row r="514" ht="15.75" customHeight="1">
      <c r="A514" s="207"/>
      <c r="B514" s="207"/>
      <c r="C514" s="209"/>
      <c r="D514" s="209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</row>
    <row r="515" ht="15.75" customHeight="1">
      <c r="A515" s="207"/>
      <c r="B515" s="207"/>
      <c r="C515" s="209"/>
      <c r="D515" s="209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</row>
    <row r="516" ht="15.75" customHeight="1">
      <c r="A516" s="207"/>
      <c r="B516" s="207"/>
      <c r="C516" s="209"/>
      <c r="D516" s="209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</row>
    <row r="517" ht="15.75" customHeight="1">
      <c r="A517" s="207"/>
      <c r="B517" s="207"/>
      <c r="C517" s="209"/>
      <c r="D517" s="209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</row>
    <row r="518" ht="15.75" customHeight="1">
      <c r="A518" s="207"/>
      <c r="B518" s="207"/>
      <c r="C518" s="209"/>
      <c r="D518" s="209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</row>
    <row r="519" ht="15.75" customHeight="1">
      <c r="A519" s="207"/>
      <c r="B519" s="207"/>
      <c r="C519" s="209"/>
      <c r="D519" s="209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</row>
    <row r="520" ht="15.75" customHeight="1">
      <c r="A520" s="207"/>
      <c r="B520" s="207"/>
      <c r="C520" s="209"/>
      <c r="D520" s="209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</row>
    <row r="521" ht="15.75" customHeight="1">
      <c r="A521" s="207"/>
      <c r="B521" s="207"/>
      <c r="C521" s="209"/>
      <c r="D521" s="209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</row>
    <row r="522" ht="15.75" customHeight="1">
      <c r="A522" s="207"/>
      <c r="B522" s="207"/>
      <c r="C522" s="209"/>
      <c r="D522" s="209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</row>
    <row r="523" ht="15.75" customHeight="1">
      <c r="A523" s="207"/>
      <c r="B523" s="207"/>
      <c r="C523" s="209"/>
      <c r="D523" s="209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</row>
    <row r="524" ht="15.75" customHeight="1">
      <c r="A524" s="207"/>
      <c r="B524" s="207"/>
      <c r="C524" s="209"/>
      <c r="D524" s="209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</row>
    <row r="525" ht="15.75" customHeight="1">
      <c r="A525" s="207"/>
      <c r="B525" s="207"/>
      <c r="C525" s="209"/>
      <c r="D525" s="209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</row>
    <row r="526" ht="15.75" customHeight="1">
      <c r="A526" s="207"/>
      <c r="B526" s="207"/>
      <c r="C526" s="209"/>
      <c r="D526" s="209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</row>
    <row r="527" ht="15.75" customHeight="1">
      <c r="A527" s="207"/>
      <c r="B527" s="207"/>
      <c r="C527" s="209"/>
      <c r="D527" s="209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</row>
    <row r="528" ht="15.75" customHeight="1">
      <c r="A528" s="207"/>
      <c r="B528" s="207"/>
      <c r="C528" s="209"/>
      <c r="D528" s="209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</row>
    <row r="529" ht="15.75" customHeight="1">
      <c r="A529" s="207"/>
      <c r="B529" s="207"/>
      <c r="C529" s="209"/>
      <c r="D529" s="209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</row>
    <row r="530" ht="15.75" customHeight="1">
      <c r="A530" s="207"/>
      <c r="B530" s="207"/>
      <c r="C530" s="209"/>
      <c r="D530" s="209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</row>
    <row r="531" ht="15.75" customHeight="1">
      <c r="A531" s="207"/>
      <c r="B531" s="207"/>
      <c r="C531" s="209"/>
      <c r="D531" s="209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</row>
    <row r="532" ht="15.75" customHeight="1">
      <c r="A532" s="207"/>
      <c r="B532" s="207"/>
      <c r="C532" s="209"/>
      <c r="D532" s="209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</row>
    <row r="533" ht="15.75" customHeight="1">
      <c r="A533" s="207"/>
      <c r="B533" s="207"/>
      <c r="C533" s="209"/>
      <c r="D533" s="209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</row>
    <row r="534" ht="15.75" customHeight="1">
      <c r="A534" s="207"/>
      <c r="B534" s="207"/>
      <c r="C534" s="209"/>
      <c r="D534" s="209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</row>
    <row r="535" ht="15.75" customHeight="1">
      <c r="A535" s="207"/>
      <c r="B535" s="207"/>
      <c r="C535" s="209"/>
      <c r="D535" s="209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</row>
    <row r="536" ht="15.75" customHeight="1">
      <c r="A536" s="207"/>
      <c r="B536" s="207"/>
      <c r="C536" s="209"/>
      <c r="D536" s="209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</row>
    <row r="537" ht="15.75" customHeight="1">
      <c r="A537" s="207"/>
      <c r="B537" s="207"/>
      <c r="C537" s="209"/>
      <c r="D537" s="209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</row>
    <row r="538" ht="15.75" customHeight="1">
      <c r="A538" s="207"/>
      <c r="B538" s="207"/>
      <c r="C538" s="209"/>
      <c r="D538" s="209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</row>
    <row r="539" ht="15.75" customHeight="1">
      <c r="A539" s="207"/>
      <c r="B539" s="207"/>
      <c r="C539" s="209"/>
      <c r="D539" s="209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</row>
    <row r="540" ht="15.75" customHeight="1">
      <c r="A540" s="207"/>
      <c r="B540" s="207"/>
      <c r="C540" s="209"/>
      <c r="D540" s="209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</row>
    <row r="541" ht="15.75" customHeight="1">
      <c r="A541" s="207"/>
      <c r="B541" s="207"/>
      <c r="C541" s="209"/>
      <c r="D541" s="209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</row>
    <row r="542" ht="15.75" customHeight="1">
      <c r="A542" s="207"/>
      <c r="B542" s="207"/>
      <c r="C542" s="209"/>
      <c r="D542" s="209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</row>
    <row r="543" ht="15.75" customHeight="1">
      <c r="A543" s="207"/>
      <c r="B543" s="207"/>
      <c r="C543" s="209"/>
      <c r="D543" s="209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</row>
    <row r="544" ht="15.75" customHeight="1">
      <c r="A544" s="207"/>
      <c r="B544" s="207"/>
      <c r="C544" s="209"/>
      <c r="D544" s="209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</row>
    <row r="545" ht="15.75" customHeight="1">
      <c r="A545" s="207"/>
      <c r="B545" s="207"/>
      <c r="C545" s="209"/>
      <c r="D545" s="209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</row>
    <row r="546" ht="15.75" customHeight="1">
      <c r="A546" s="207"/>
      <c r="B546" s="207"/>
      <c r="C546" s="209"/>
      <c r="D546" s="209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</row>
    <row r="547" ht="15.75" customHeight="1">
      <c r="A547" s="207"/>
      <c r="B547" s="207"/>
      <c r="C547" s="209"/>
      <c r="D547" s="209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</row>
    <row r="548" ht="15.75" customHeight="1">
      <c r="A548" s="207"/>
      <c r="B548" s="207"/>
      <c r="C548" s="209"/>
      <c r="D548" s="209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</row>
    <row r="549" ht="15.75" customHeight="1">
      <c r="A549" s="207"/>
      <c r="B549" s="207"/>
      <c r="C549" s="209"/>
      <c r="D549" s="209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</row>
    <row r="550" ht="15.75" customHeight="1">
      <c r="A550" s="207"/>
      <c r="B550" s="207"/>
      <c r="C550" s="209"/>
      <c r="D550" s="209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</row>
    <row r="551" ht="15.75" customHeight="1">
      <c r="A551" s="207"/>
      <c r="B551" s="207"/>
      <c r="C551" s="209"/>
      <c r="D551" s="209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</row>
    <row r="552" ht="15.75" customHeight="1">
      <c r="A552" s="207"/>
      <c r="B552" s="207"/>
      <c r="C552" s="209"/>
      <c r="D552" s="209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  <c r="AA552" s="207"/>
    </row>
    <row r="553" ht="15.75" customHeight="1">
      <c r="A553" s="207"/>
      <c r="B553" s="207"/>
      <c r="C553" s="209"/>
      <c r="D553" s="209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</row>
    <row r="554" ht="15.75" customHeight="1">
      <c r="A554" s="207"/>
      <c r="B554" s="207"/>
      <c r="C554" s="209"/>
      <c r="D554" s="209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</row>
    <row r="555" ht="15.75" customHeight="1">
      <c r="A555" s="207"/>
      <c r="B555" s="207"/>
      <c r="C555" s="209"/>
      <c r="D555" s="209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</row>
    <row r="556" ht="15.75" customHeight="1">
      <c r="A556" s="207"/>
      <c r="B556" s="207"/>
      <c r="C556" s="209"/>
      <c r="D556" s="209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</row>
    <row r="557" ht="15.75" customHeight="1">
      <c r="A557" s="207"/>
      <c r="B557" s="207"/>
      <c r="C557" s="209"/>
      <c r="D557" s="209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</row>
    <row r="558" ht="15.75" customHeight="1">
      <c r="A558" s="207"/>
      <c r="B558" s="207"/>
      <c r="C558" s="209"/>
      <c r="D558" s="209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  <c r="AA558" s="207"/>
    </row>
    <row r="559" ht="15.75" customHeight="1">
      <c r="A559" s="207"/>
      <c r="B559" s="207"/>
      <c r="C559" s="209"/>
      <c r="D559" s="209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</row>
    <row r="560" ht="15.75" customHeight="1">
      <c r="A560" s="207"/>
      <c r="B560" s="207"/>
      <c r="C560" s="209"/>
      <c r="D560" s="209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</row>
    <row r="561" ht="15.75" customHeight="1">
      <c r="A561" s="207"/>
      <c r="B561" s="207"/>
      <c r="C561" s="209"/>
      <c r="D561" s="209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</row>
    <row r="562" ht="15.75" customHeight="1">
      <c r="A562" s="207"/>
      <c r="B562" s="207"/>
      <c r="C562" s="209"/>
      <c r="D562" s="209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</row>
    <row r="563" ht="15.75" customHeight="1">
      <c r="A563" s="207"/>
      <c r="B563" s="207"/>
      <c r="C563" s="209"/>
      <c r="D563" s="209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</row>
    <row r="564" ht="15.75" customHeight="1">
      <c r="A564" s="207"/>
      <c r="B564" s="207"/>
      <c r="C564" s="209"/>
      <c r="D564" s="209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</row>
    <row r="565" ht="15.75" customHeight="1">
      <c r="A565" s="207"/>
      <c r="B565" s="207"/>
      <c r="C565" s="209"/>
      <c r="D565" s="209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</row>
    <row r="566" ht="15.75" customHeight="1">
      <c r="A566" s="207"/>
      <c r="B566" s="207"/>
      <c r="C566" s="209"/>
      <c r="D566" s="209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  <c r="AA566" s="207"/>
    </row>
    <row r="567" ht="15.75" customHeight="1">
      <c r="A567" s="207"/>
      <c r="B567" s="207"/>
      <c r="C567" s="209"/>
      <c r="D567" s="209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</row>
    <row r="568" ht="15.75" customHeight="1">
      <c r="A568" s="207"/>
      <c r="B568" s="207"/>
      <c r="C568" s="209"/>
      <c r="D568" s="209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</row>
    <row r="569" ht="15.75" customHeight="1">
      <c r="A569" s="207"/>
      <c r="B569" s="207"/>
      <c r="C569" s="209"/>
      <c r="D569" s="209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</row>
    <row r="570" ht="15.75" customHeight="1">
      <c r="A570" s="207"/>
      <c r="B570" s="207"/>
      <c r="C570" s="209"/>
      <c r="D570" s="209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</row>
    <row r="571" ht="15.75" customHeight="1">
      <c r="A571" s="207"/>
      <c r="B571" s="207"/>
      <c r="C571" s="209"/>
      <c r="D571" s="209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</row>
    <row r="572" ht="15.75" customHeight="1">
      <c r="A572" s="207"/>
      <c r="B572" s="207"/>
      <c r="C572" s="209"/>
      <c r="D572" s="209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</row>
    <row r="573" ht="15.75" customHeight="1">
      <c r="A573" s="207"/>
      <c r="B573" s="207"/>
      <c r="C573" s="209"/>
      <c r="D573" s="209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</row>
    <row r="574" ht="15.75" customHeight="1">
      <c r="A574" s="207"/>
      <c r="B574" s="207"/>
      <c r="C574" s="209"/>
      <c r="D574" s="209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</row>
    <row r="575" ht="15.75" customHeight="1">
      <c r="A575" s="207"/>
      <c r="B575" s="207"/>
      <c r="C575" s="209"/>
      <c r="D575" s="209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</row>
    <row r="576" ht="15.75" customHeight="1">
      <c r="A576" s="207"/>
      <c r="B576" s="207"/>
      <c r="C576" s="209"/>
      <c r="D576" s="209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</row>
    <row r="577" ht="15.75" customHeight="1">
      <c r="A577" s="207"/>
      <c r="B577" s="207"/>
      <c r="C577" s="209"/>
      <c r="D577" s="209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</row>
    <row r="578" ht="15.75" customHeight="1">
      <c r="A578" s="207"/>
      <c r="B578" s="207"/>
      <c r="C578" s="209"/>
      <c r="D578" s="209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</row>
    <row r="579" ht="15.75" customHeight="1">
      <c r="A579" s="207"/>
      <c r="B579" s="207"/>
      <c r="C579" s="209"/>
      <c r="D579" s="209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</row>
    <row r="580" ht="15.75" customHeight="1">
      <c r="A580" s="207"/>
      <c r="B580" s="207"/>
      <c r="C580" s="209"/>
      <c r="D580" s="209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</row>
    <row r="581" ht="15.75" customHeight="1">
      <c r="A581" s="207"/>
      <c r="B581" s="207"/>
      <c r="C581" s="209"/>
      <c r="D581" s="209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</row>
    <row r="582" ht="15.75" customHeight="1">
      <c r="A582" s="207"/>
      <c r="B582" s="207"/>
      <c r="C582" s="209"/>
      <c r="D582" s="209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</row>
    <row r="583" ht="15.75" customHeight="1">
      <c r="A583" s="207"/>
      <c r="B583" s="207"/>
      <c r="C583" s="209"/>
      <c r="D583" s="209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</row>
    <row r="584" ht="15.75" customHeight="1">
      <c r="A584" s="207"/>
      <c r="B584" s="207"/>
      <c r="C584" s="209"/>
      <c r="D584" s="209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</row>
    <row r="585" ht="15.75" customHeight="1">
      <c r="A585" s="207"/>
      <c r="B585" s="207"/>
      <c r="C585" s="209"/>
      <c r="D585" s="209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</row>
    <row r="586" ht="15.75" customHeight="1">
      <c r="A586" s="207"/>
      <c r="B586" s="207"/>
      <c r="C586" s="209"/>
      <c r="D586" s="209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</row>
    <row r="587" ht="15.75" customHeight="1">
      <c r="A587" s="207"/>
      <c r="B587" s="207"/>
      <c r="C587" s="209"/>
      <c r="D587" s="209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</row>
    <row r="588" ht="15.75" customHeight="1">
      <c r="A588" s="207"/>
      <c r="B588" s="207"/>
      <c r="C588" s="209"/>
      <c r="D588" s="209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</row>
    <row r="589" ht="15.75" customHeight="1">
      <c r="A589" s="207"/>
      <c r="B589" s="207"/>
      <c r="C589" s="209"/>
      <c r="D589" s="209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</row>
    <row r="590" ht="15.75" customHeight="1">
      <c r="A590" s="207"/>
      <c r="B590" s="207"/>
      <c r="C590" s="209"/>
      <c r="D590" s="209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</row>
    <row r="591" ht="15.75" customHeight="1">
      <c r="A591" s="207"/>
      <c r="B591" s="207"/>
      <c r="C591" s="209"/>
      <c r="D591" s="209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</row>
    <row r="592" ht="15.75" customHeight="1">
      <c r="A592" s="207"/>
      <c r="B592" s="207"/>
      <c r="C592" s="209"/>
      <c r="D592" s="209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</row>
    <row r="593" ht="15.75" customHeight="1">
      <c r="A593" s="207"/>
      <c r="B593" s="207"/>
      <c r="C593" s="209"/>
      <c r="D593" s="209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</row>
    <row r="594" ht="15.75" customHeight="1">
      <c r="A594" s="207"/>
      <c r="B594" s="207"/>
      <c r="C594" s="209"/>
      <c r="D594" s="209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</row>
    <row r="595" ht="15.75" customHeight="1">
      <c r="A595" s="207"/>
      <c r="B595" s="207"/>
      <c r="C595" s="209"/>
      <c r="D595" s="209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</row>
    <row r="596" ht="15.75" customHeight="1">
      <c r="A596" s="207"/>
      <c r="B596" s="207"/>
      <c r="C596" s="209"/>
      <c r="D596" s="209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</row>
    <row r="597" ht="15.75" customHeight="1">
      <c r="A597" s="207"/>
      <c r="B597" s="207"/>
      <c r="C597" s="209"/>
      <c r="D597" s="209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</row>
    <row r="598" ht="15.75" customHeight="1">
      <c r="A598" s="207"/>
      <c r="B598" s="207"/>
      <c r="C598" s="209"/>
      <c r="D598" s="209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</row>
    <row r="599" ht="15.75" customHeight="1">
      <c r="A599" s="207"/>
      <c r="B599" s="207"/>
      <c r="C599" s="209"/>
      <c r="D599" s="209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</row>
    <row r="600" ht="15.75" customHeight="1">
      <c r="A600" s="207"/>
      <c r="B600" s="207"/>
      <c r="C600" s="209"/>
      <c r="D600" s="209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</row>
    <row r="601" ht="15.75" customHeight="1">
      <c r="A601" s="207"/>
      <c r="B601" s="207"/>
      <c r="C601" s="209"/>
      <c r="D601" s="209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</row>
    <row r="602" ht="15.75" customHeight="1">
      <c r="A602" s="207"/>
      <c r="B602" s="207"/>
      <c r="C602" s="209"/>
      <c r="D602" s="209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</row>
    <row r="603" ht="15.75" customHeight="1">
      <c r="A603" s="207"/>
      <c r="B603" s="207"/>
      <c r="C603" s="209"/>
      <c r="D603" s="209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</row>
    <row r="604" ht="15.75" customHeight="1">
      <c r="A604" s="207"/>
      <c r="B604" s="207"/>
      <c r="C604" s="209"/>
      <c r="D604" s="209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</row>
    <row r="605" ht="15.75" customHeight="1">
      <c r="A605" s="207"/>
      <c r="B605" s="207"/>
      <c r="C605" s="209"/>
      <c r="D605" s="209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</row>
    <row r="606" ht="15.75" customHeight="1">
      <c r="A606" s="207"/>
      <c r="B606" s="207"/>
      <c r="C606" s="209"/>
      <c r="D606" s="209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</row>
    <row r="607" ht="15.75" customHeight="1">
      <c r="A607" s="207"/>
      <c r="B607" s="207"/>
      <c r="C607" s="209"/>
      <c r="D607" s="209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</row>
    <row r="608" ht="15.75" customHeight="1">
      <c r="A608" s="207"/>
      <c r="B608" s="207"/>
      <c r="C608" s="209"/>
      <c r="D608" s="209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</row>
    <row r="609" ht="15.75" customHeight="1">
      <c r="A609" s="207"/>
      <c r="B609" s="207"/>
      <c r="C609" s="209"/>
      <c r="D609" s="209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  <c r="AA609" s="207"/>
    </row>
    <row r="610" ht="15.75" customHeight="1">
      <c r="A610" s="207"/>
      <c r="B610" s="207"/>
      <c r="C610" s="209"/>
      <c r="D610" s="209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</row>
    <row r="611" ht="15.75" customHeight="1">
      <c r="A611" s="207"/>
      <c r="B611" s="207"/>
      <c r="C611" s="209"/>
      <c r="D611" s="209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</row>
    <row r="612" ht="15.75" customHeight="1">
      <c r="A612" s="207"/>
      <c r="B612" s="207"/>
      <c r="C612" s="209"/>
      <c r="D612" s="209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</row>
    <row r="613" ht="15.75" customHeight="1">
      <c r="A613" s="207"/>
      <c r="B613" s="207"/>
      <c r="C613" s="209"/>
      <c r="D613" s="209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</row>
    <row r="614" ht="15.75" customHeight="1">
      <c r="A614" s="207"/>
      <c r="B614" s="207"/>
      <c r="C614" s="209"/>
      <c r="D614" s="209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</row>
    <row r="615" ht="15.75" customHeight="1">
      <c r="A615" s="207"/>
      <c r="B615" s="207"/>
      <c r="C615" s="209"/>
      <c r="D615" s="209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</row>
    <row r="616" ht="15.75" customHeight="1">
      <c r="A616" s="207"/>
      <c r="B616" s="207"/>
      <c r="C616" s="209"/>
      <c r="D616" s="209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</row>
    <row r="617" ht="15.75" customHeight="1">
      <c r="A617" s="207"/>
      <c r="B617" s="207"/>
      <c r="C617" s="209"/>
      <c r="D617" s="209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</row>
    <row r="618" ht="15.75" customHeight="1">
      <c r="A618" s="207"/>
      <c r="B618" s="207"/>
      <c r="C618" s="209"/>
      <c r="D618" s="209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</row>
    <row r="619" ht="15.75" customHeight="1">
      <c r="A619" s="207"/>
      <c r="B619" s="207"/>
      <c r="C619" s="209"/>
      <c r="D619" s="209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</row>
    <row r="620" ht="15.75" customHeight="1">
      <c r="A620" s="207"/>
      <c r="B620" s="207"/>
      <c r="C620" s="209"/>
      <c r="D620" s="209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</row>
    <row r="621" ht="15.75" customHeight="1">
      <c r="A621" s="207"/>
      <c r="B621" s="207"/>
      <c r="C621" s="209"/>
      <c r="D621" s="209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</row>
    <row r="622" ht="15.75" customHeight="1">
      <c r="A622" s="207"/>
      <c r="B622" s="207"/>
      <c r="C622" s="209"/>
      <c r="D622" s="209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</row>
    <row r="623" ht="15.75" customHeight="1">
      <c r="A623" s="207"/>
      <c r="B623" s="207"/>
      <c r="C623" s="209"/>
      <c r="D623" s="209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</row>
    <row r="624" ht="15.75" customHeight="1">
      <c r="A624" s="207"/>
      <c r="B624" s="207"/>
      <c r="C624" s="209"/>
      <c r="D624" s="209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</row>
    <row r="625" ht="15.75" customHeight="1">
      <c r="A625" s="207"/>
      <c r="B625" s="207"/>
      <c r="C625" s="209"/>
      <c r="D625" s="209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</row>
    <row r="626" ht="15.75" customHeight="1">
      <c r="A626" s="207"/>
      <c r="B626" s="207"/>
      <c r="C626" s="209"/>
      <c r="D626" s="209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</row>
    <row r="627" ht="15.75" customHeight="1">
      <c r="A627" s="207"/>
      <c r="B627" s="207"/>
      <c r="C627" s="209"/>
      <c r="D627" s="209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</row>
    <row r="628" ht="15.75" customHeight="1">
      <c r="A628" s="207"/>
      <c r="B628" s="207"/>
      <c r="C628" s="209"/>
      <c r="D628" s="209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</row>
    <row r="629" ht="15.75" customHeight="1">
      <c r="A629" s="207"/>
      <c r="B629" s="207"/>
      <c r="C629" s="209"/>
      <c r="D629" s="209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</row>
    <row r="630" ht="15.75" customHeight="1">
      <c r="A630" s="207"/>
      <c r="B630" s="207"/>
      <c r="C630" s="209"/>
      <c r="D630" s="209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</row>
    <row r="631" ht="15.75" customHeight="1">
      <c r="A631" s="207"/>
      <c r="B631" s="207"/>
      <c r="C631" s="209"/>
      <c r="D631" s="209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</row>
    <row r="632" ht="15.75" customHeight="1">
      <c r="A632" s="207"/>
      <c r="B632" s="207"/>
      <c r="C632" s="209"/>
      <c r="D632" s="209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</row>
    <row r="633" ht="15.75" customHeight="1">
      <c r="A633" s="207"/>
      <c r="B633" s="207"/>
      <c r="C633" s="209"/>
      <c r="D633" s="209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</row>
    <row r="634" ht="15.75" customHeight="1">
      <c r="A634" s="207"/>
      <c r="B634" s="207"/>
      <c r="C634" s="209"/>
      <c r="D634" s="209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</row>
    <row r="635" ht="15.75" customHeight="1">
      <c r="A635" s="207"/>
      <c r="B635" s="207"/>
      <c r="C635" s="209"/>
      <c r="D635" s="209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</row>
    <row r="636" ht="15.75" customHeight="1">
      <c r="A636" s="207"/>
      <c r="B636" s="207"/>
      <c r="C636" s="209"/>
      <c r="D636" s="209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</row>
    <row r="637" ht="15.75" customHeight="1">
      <c r="A637" s="207"/>
      <c r="B637" s="207"/>
      <c r="C637" s="209"/>
      <c r="D637" s="209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</row>
    <row r="638" ht="15.75" customHeight="1">
      <c r="A638" s="207"/>
      <c r="B638" s="207"/>
      <c r="C638" s="209"/>
      <c r="D638" s="209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</row>
    <row r="639" ht="15.75" customHeight="1">
      <c r="A639" s="207"/>
      <c r="B639" s="207"/>
      <c r="C639" s="209"/>
      <c r="D639" s="209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</row>
    <row r="640" ht="15.75" customHeight="1">
      <c r="A640" s="207"/>
      <c r="B640" s="207"/>
      <c r="C640" s="209"/>
      <c r="D640" s="209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</row>
    <row r="641" ht="15.75" customHeight="1">
      <c r="A641" s="207"/>
      <c r="B641" s="207"/>
      <c r="C641" s="209"/>
      <c r="D641" s="209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</row>
    <row r="642" ht="15.75" customHeight="1">
      <c r="A642" s="207"/>
      <c r="B642" s="207"/>
      <c r="C642" s="209"/>
      <c r="D642" s="209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</row>
    <row r="643" ht="15.75" customHeight="1">
      <c r="A643" s="207"/>
      <c r="B643" s="207"/>
      <c r="C643" s="209"/>
      <c r="D643" s="209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</row>
    <row r="644" ht="15.75" customHeight="1">
      <c r="A644" s="207"/>
      <c r="B644" s="207"/>
      <c r="C644" s="209"/>
      <c r="D644" s="209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</row>
    <row r="645" ht="15.75" customHeight="1">
      <c r="A645" s="207"/>
      <c r="B645" s="207"/>
      <c r="C645" s="209"/>
      <c r="D645" s="209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</row>
    <row r="646" ht="15.75" customHeight="1">
      <c r="A646" s="207"/>
      <c r="B646" s="207"/>
      <c r="C646" s="209"/>
      <c r="D646" s="209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</row>
    <row r="647" ht="15.75" customHeight="1">
      <c r="A647" s="207"/>
      <c r="B647" s="207"/>
      <c r="C647" s="209"/>
      <c r="D647" s="209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</row>
    <row r="648" ht="15.75" customHeight="1">
      <c r="A648" s="207"/>
      <c r="B648" s="207"/>
      <c r="C648" s="209"/>
      <c r="D648" s="209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</row>
    <row r="649" ht="15.75" customHeight="1">
      <c r="A649" s="207"/>
      <c r="B649" s="207"/>
      <c r="C649" s="209"/>
      <c r="D649" s="209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</row>
    <row r="650" ht="15.75" customHeight="1">
      <c r="A650" s="207"/>
      <c r="B650" s="207"/>
      <c r="C650" s="209"/>
      <c r="D650" s="209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</row>
    <row r="651" ht="15.75" customHeight="1">
      <c r="A651" s="207"/>
      <c r="B651" s="207"/>
      <c r="C651" s="209"/>
      <c r="D651" s="209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</row>
    <row r="652" ht="15.75" customHeight="1">
      <c r="A652" s="207"/>
      <c r="B652" s="207"/>
      <c r="C652" s="209"/>
      <c r="D652" s="209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</row>
    <row r="653" ht="15.75" customHeight="1">
      <c r="A653" s="207"/>
      <c r="B653" s="207"/>
      <c r="C653" s="209"/>
      <c r="D653" s="209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</row>
    <row r="654" ht="15.75" customHeight="1">
      <c r="A654" s="207"/>
      <c r="B654" s="207"/>
      <c r="C654" s="209"/>
      <c r="D654" s="209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</row>
    <row r="655" ht="15.75" customHeight="1">
      <c r="A655" s="207"/>
      <c r="B655" s="207"/>
      <c r="C655" s="209"/>
      <c r="D655" s="209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</row>
    <row r="656" ht="15.75" customHeight="1">
      <c r="A656" s="207"/>
      <c r="B656" s="207"/>
      <c r="C656" s="209"/>
      <c r="D656" s="209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</row>
    <row r="657" ht="15.75" customHeight="1">
      <c r="A657" s="207"/>
      <c r="B657" s="207"/>
      <c r="C657" s="209"/>
      <c r="D657" s="209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</row>
    <row r="658" ht="15.75" customHeight="1">
      <c r="A658" s="207"/>
      <c r="B658" s="207"/>
      <c r="C658" s="209"/>
      <c r="D658" s="209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</row>
    <row r="659" ht="15.75" customHeight="1">
      <c r="A659" s="207"/>
      <c r="B659" s="207"/>
      <c r="C659" s="209"/>
      <c r="D659" s="209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</row>
    <row r="660" ht="15.75" customHeight="1">
      <c r="A660" s="207"/>
      <c r="B660" s="207"/>
      <c r="C660" s="209"/>
      <c r="D660" s="209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</row>
    <row r="661" ht="15.75" customHeight="1">
      <c r="A661" s="207"/>
      <c r="B661" s="207"/>
      <c r="C661" s="209"/>
      <c r="D661" s="209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</row>
    <row r="662" ht="15.75" customHeight="1">
      <c r="A662" s="207"/>
      <c r="B662" s="207"/>
      <c r="C662" s="209"/>
      <c r="D662" s="209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</row>
    <row r="663" ht="15.75" customHeight="1">
      <c r="A663" s="207"/>
      <c r="B663" s="207"/>
      <c r="C663" s="209"/>
      <c r="D663" s="209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</row>
    <row r="664" ht="15.75" customHeight="1">
      <c r="A664" s="207"/>
      <c r="B664" s="207"/>
      <c r="C664" s="209"/>
      <c r="D664" s="209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</row>
    <row r="665" ht="15.75" customHeight="1">
      <c r="A665" s="207"/>
      <c r="B665" s="207"/>
      <c r="C665" s="209"/>
      <c r="D665" s="209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</row>
    <row r="666" ht="15.75" customHeight="1">
      <c r="A666" s="207"/>
      <c r="B666" s="207"/>
      <c r="C666" s="209"/>
      <c r="D666" s="209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</row>
    <row r="667" ht="15.75" customHeight="1">
      <c r="A667" s="207"/>
      <c r="B667" s="207"/>
      <c r="C667" s="209"/>
      <c r="D667" s="209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</row>
    <row r="668" ht="15.75" customHeight="1">
      <c r="A668" s="207"/>
      <c r="B668" s="207"/>
      <c r="C668" s="209"/>
      <c r="D668" s="209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</row>
    <row r="669" ht="15.75" customHeight="1">
      <c r="A669" s="207"/>
      <c r="B669" s="207"/>
      <c r="C669" s="209"/>
      <c r="D669" s="209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</row>
    <row r="670" ht="15.75" customHeight="1">
      <c r="A670" s="207"/>
      <c r="B670" s="207"/>
      <c r="C670" s="209"/>
      <c r="D670" s="209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</row>
    <row r="671" ht="15.75" customHeight="1">
      <c r="A671" s="207"/>
      <c r="B671" s="207"/>
      <c r="C671" s="209"/>
      <c r="D671" s="209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</row>
    <row r="672" ht="15.75" customHeight="1">
      <c r="A672" s="207"/>
      <c r="B672" s="207"/>
      <c r="C672" s="209"/>
      <c r="D672" s="209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</row>
    <row r="673" ht="15.75" customHeight="1">
      <c r="A673" s="207"/>
      <c r="B673" s="207"/>
      <c r="C673" s="209"/>
      <c r="D673" s="209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</row>
    <row r="674" ht="15.75" customHeight="1">
      <c r="A674" s="207"/>
      <c r="B674" s="207"/>
      <c r="C674" s="209"/>
      <c r="D674" s="209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</row>
    <row r="675" ht="15.75" customHeight="1">
      <c r="A675" s="207"/>
      <c r="B675" s="207"/>
      <c r="C675" s="209"/>
      <c r="D675" s="209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</row>
    <row r="676" ht="15.75" customHeight="1">
      <c r="A676" s="207"/>
      <c r="B676" s="207"/>
      <c r="C676" s="209"/>
      <c r="D676" s="209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</row>
    <row r="677" ht="15.75" customHeight="1">
      <c r="A677" s="207"/>
      <c r="B677" s="207"/>
      <c r="C677" s="209"/>
      <c r="D677" s="209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</row>
    <row r="678" ht="15.75" customHeight="1">
      <c r="A678" s="207"/>
      <c r="B678" s="207"/>
      <c r="C678" s="209"/>
      <c r="D678" s="209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</row>
    <row r="679" ht="15.75" customHeight="1">
      <c r="A679" s="207"/>
      <c r="B679" s="207"/>
      <c r="C679" s="209"/>
      <c r="D679" s="209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</row>
    <row r="680" ht="15.75" customHeight="1">
      <c r="A680" s="207"/>
      <c r="B680" s="207"/>
      <c r="C680" s="209"/>
      <c r="D680" s="209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</row>
    <row r="681" ht="15.75" customHeight="1">
      <c r="A681" s="207"/>
      <c r="B681" s="207"/>
      <c r="C681" s="209"/>
      <c r="D681" s="209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</row>
    <row r="682" ht="15.75" customHeight="1">
      <c r="A682" s="207"/>
      <c r="B682" s="207"/>
      <c r="C682" s="209"/>
      <c r="D682" s="209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</row>
    <row r="683" ht="15.75" customHeight="1">
      <c r="A683" s="207"/>
      <c r="B683" s="207"/>
      <c r="C683" s="209"/>
      <c r="D683" s="209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</row>
    <row r="684" ht="15.75" customHeight="1">
      <c r="A684" s="207"/>
      <c r="B684" s="207"/>
      <c r="C684" s="209"/>
      <c r="D684" s="209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</row>
    <row r="685" ht="15.75" customHeight="1">
      <c r="A685" s="207"/>
      <c r="B685" s="207"/>
      <c r="C685" s="209"/>
      <c r="D685" s="209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</row>
    <row r="686" ht="15.75" customHeight="1">
      <c r="A686" s="207"/>
      <c r="B686" s="207"/>
      <c r="C686" s="209"/>
      <c r="D686" s="209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</row>
    <row r="687" ht="15.75" customHeight="1">
      <c r="A687" s="207"/>
      <c r="B687" s="207"/>
      <c r="C687" s="209"/>
      <c r="D687" s="209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</row>
    <row r="688" ht="15.75" customHeight="1">
      <c r="A688" s="207"/>
      <c r="B688" s="207"/>
      <c r="C688" s="209"/>
      <c r="D688" s="209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</row>
    <row r="689" ht="15.75" customHeight="1">
      <c r="A689" s="207"/>
      <c r="B689" s="207"/>
      <c r="C689" s="209"/>
      <c r="D689" s="209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</row>
    <row r="690" ht="15.75" customHeight="1">
      <c r="A690" s="207"/>
      <c r="B690" s="207"/>
      <c r="C690" s="209"/>
      <c r="D690" s="209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</row>
    <row r="691" ht="15.75" customHeight="1">
      <c r="A691" s="207"/>
      <c r="B691" s="207"/>
      <c r="C691" s="209"/>
      <c r="D691" s="209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</row>
    <row r="692" ht="15.75" customHeight="1">
      <c r="A692" s="207"/>
      <c r="B692" s="207"/>
      <c r="C692" s="209"/>
      <c r="D692" s="209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</row>
    <row r="693" ht="15.75" customHeight="1">
      <c r="A693" s="207"/>
      <c r="B693" s="207"/>
      <c r="C693" s="209"/>
      <c r="D693" s="209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</row>
    <row r="694" ht="15.75" customHeight="1">
      <c r="A694" s="207"/>
      <c r="B694" s="207"/>
      <c r="C694" s="209"/>
      <c r="D694" s="209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</row>
    <row r="695" ht="15.75" customHeight="1">
      <c r="A695" s="207"/>
      <c r="B695" s="207"/>
      <c r="C695" s="209"/>
      <c r="D695" s="209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</row>
    <row r="696" ht="15.75" customHeight="1">
      <c r="A696" s="207"/>
      <c r="B696" s="207"/>
      <c r="C696" s="209"/>
      <c r="D696" s="209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</row>
    <row r="697" ht="15.75" customHeight="1">
      <c r="A697" s="207"/>
      <c r="B697" s="207"/>
      <c r="C697" s="209"/>
      <c r="D697" s="209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</row>
    <row r="698" ht="15.75" customHeight="1">
      <c r="A698" s="207"/>
      <c r="B698" s="207"/>
      <c r="C698" s="209"/>
      <c r="D698" s="209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</row>
    <row r="699" ht="15.75" customHeight="1">
      <c r="A699" s="207"/>
      <c r="B699" s="207"/>
      <c r="C699" s="209"/>
      <c r="D699" s="209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</row>
    <row r="700" ht="15.75" customHeight="1">
      <c r="A700" s="207"/>
      <c r="B700" s="207"/>
      <c r="C700" s="209"/>
      <c r="D700" s="209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</row>
    <row r="701" ht="15.75" customHeight="1">
      <c r="A701" s="207"/>
      <c r="B701" s="207"/>
      <c r="C701" s="209"/>
      <c r="D701" s="209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</row>
    <row r="702" ht="15.75" customHeight="1">
      <c r="A702" s="207"/>
      <c r="B702" s="207"/>
      <c r="C702" s="209"/>
      <c r="D702" s="209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</row>
    <row r="703" ht="15.75" customHeight="1">
      <c r="A703" s="207"/>
      <c r="B703" s="207"/>
      <c r="C703" s="209"/>
      <c r="D703" s="209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</row>
    <row r="704" ht="15.75" customHeight="1">
      <c r="A704" s="207"/>
      <c r="B704" s="207"/>
      <c r="C704" s="209"/>
      <c r="D704" s="209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</row>
    <row r="705" ht="15.75" customHeight="1">
      <c r="A705" s="207"/>
      <c r="B705" s="207"/>
      <c r="C705" s="209"/>
      <c r="D705" s="209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</row>
    <row r="706" ht="15.75" customHeight="1">
      <c r="A706" s="207"/>
      <c r="B706" s="207"/>
      <c r="C706" s="209"/>
      <c r="D706" s="209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</row>
    <row r="707" ht="15.75" customHeight="1">
      <c r="A707" s="207"/>
      <c r="B707" s="207"/>
      <c r="C707" s="209"/>
      <c r="D707" s="209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</row>
    <row r="708" ht="15.75" customHeight="1">
      <c r="A708" s="207"/>
      <c r="B708" s="207"/>
      <c r="C708" s="209"/>
      <c r="D708" s="209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</row>
    <row r="709" ht="15.75" customHeight="1">
      <c r="A709" s="207"/>
      <c r="B709" s="207"/>
      <c r="C709" s="209"/>
      <c r="D709" s="209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</row>
    <row r="710" ht="15.75" customHeight="1">
      <c r="A710" s="207"/>
      <c r="B710" s="207"/>
      <c r="C710" s="209"/>
      <c r="D710" s="209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</row>
    <row r="711" ht="15.75" customHeight="1">
      <c r="A711" s="207"/>
      <c r="B711" s="207"/>
      <c r="C711" s="209"/>
      <c r="D711" s="209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</row>
    <row r="712" ht="15.75" customHeight="1">
      <c r="A712" s="207"/>
      <c r="B712" s="207"/>
      <c r="C712" s="209"/>
      <c r="D712" s="209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</row>
    <row r="713" ht="15.75" customHeight="1">
      <c r="A713" s="207"/>
      <c r="B713" s="207"/>
      <c r="C713" s="209"/>
      <c r="D713" s="209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</row>
    <row r="714" ht="15.75" customHeight="1">
      <c r="A714" s="207"/>
      <c r="B714" s="207"/>
      <c r="C714" s="209"/>
      <c r="D714" s="209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</row>
    <row r="715" ht="15.75" customHeight="1">
      <c r="A715" s="207"/>
      <c r="B715" s="207"/>
      <c r="C715" s="209"/>
      <c r="D715" s="209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</row>
    <row r="716" ht="15.75" customHeight="1">
      <c r="A716" s="207"/>
      <c r="B716" s="207"/>
      <c r="C716" s="209"/>
      <c r="D716" s="209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</row>
    <row r="717" ht="15.75" customHeight="1">
      <c r="A717" s="207"/>
      <c r="B717" s="207"/>
      <c r="C717" s="209"/>
      <c r="D717" s="209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</row>
    <row r="718" ht="15.75" customHeight="1">
      <c r="A718" s="207"/>
      <c r="B718" s="207"/>
      <c r="C718" s="209"/>
      <c r="D718" s="209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</row>
    <row r="719" ht="15.75" customHeight="1">
      <c r="A719" s="207"/>
      <c r="B719" s="207"/>
      <c r="C719" s="209"/>
      <c r="D719" s="209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</row>
    <row r="720" ht="15.75" customHeight="1">
      <c r="A720" s="207"/>
      <c r="B720" s="207"/>
      <c r="C720" s="209"/>
      <c r="D720" s="209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</row>
    <row r="721" ht="15.75" customHeight="1">
      <c r="A721" s="207"/>
      <c r="B721" s="207"/>
      <c r="C721" s="209"/>
      <c r="D721" s="209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</row>
    <row r="722" ht="15.75" customHeight="1">
      <c r="A722" s="207"/>
      <c r="B722" s="207"/>
      <c r="C722" s="209"/>
      <c r="D722" s="209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</row>
    <row r="723" ht="15.75" customHeight="1">
      <c r="A723" s="207"/>
      <c r="B723" s="207"/>
      <c r="C723" s="209"/>
      <c r="D723" s="209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</row>
    <row r="724" ht="15.75" customHeight="1">
      <c r="A724" s="207"/>
      <c r="B724" s="207"/>
      <c r="C724" s="209"/>
      <c r="D724" s="209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</row>
    <row r="725" ht="15.75" customHeight="1">
      <c r="A725" s="207"/>
      <c r="B725" s="207"/>
      <c r="C725" s="209"/>
      <c r="D725" s="209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</row>
    <row r="726" ht="15.75" customHeight="1">
      <c r="A726" s="207"/>
      <c r="B726" s="207"/>
      <c r="C726" s="209"/>
      <c r="D726" s="209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</row>
    <row r="727" ht="15.75" customHeight="1">
      <c r="A727" s="207"/>
      <c r="B727" s="207"/>
      <c r="C727" s="209"/>
      <c r="D727" s="209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</row>
    <row r="728" ht="15.75" customHeight="1">
      <c r="A728" s="207"/>
      <c r="B728" s="207"/>
      <c r="C728" s="209"/>
      <c r="D728" s="209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</row>
    <row r="729" ht="15.75" customHeight="1">
      <c r="A729" s="207"/>
      <c r="B729" s="207"/>
      <c r="C729" s="209"/>
      <c r="D729" s="209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</row>
    <row r="730" ht="15.75" customHeight="1">
      <c r="A730" s="207"/>
      <c r="B730" s="207"/>
      <c r="C730" s="209"/>
      <c r="D730" s="209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</row>
    <row r="731" ht="15.75" customHeight="1">
      <c r="A731" s="207"/>
      <c r="B731" s="207"/>
      <c r="C731" s="209"/>
      <c r="D731" s="209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</row>
    <row r="732" ht="15.75" customHeight="1">
      <c r="A732" s="207"/>
      <c r="B732" s="207"/>
      <c r="C732" s="209"/>
      <c r="D732" s="209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</row>
    <row r="733" ht="15.75" customHeight="1">
      <c r="A733" s="207"/>
      <c r="B733" s="207"/>
      <c r="C733" s="209"/>
      <c r="D733" s="209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</row>
    <row r="734" ht="15.75" customHeight="1">
      <c r="A734" s="207"/>
      <c r="B734" s="207"/>
      <c r="C734" s="209"/>
      <c r="D734" s="209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</row>
    <row r="735" ht="15.75" customHeight="1">
      <c r="A735" s="207"/>
      <c r="B735" s="207"/>
      <c r="C735" s="209"/>
      <c r="D735" s="209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</row>
    <row r="736" ht="15.75" customHeight="1">
      <c r="A736" s="207"/>
      <c r="B736" s="207"/>
      <c r="C736" s="209"/>
      <c r="D736" s="209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</row>
    <row r="737" ht="15.75" customHeight="1">
      <c r="A737" s="207"/>
      <c r="B737" s="207"/>
      <c r="C737" s="209"/>
      <c r="D737" s="209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</row>
    <row r="738" ht="15.75" customHeight="1">
      <c r="A738" s="207"/>
      <c r="B738" s="207"/>
      <c r="C738" s="209"/>
      <c r="D738" s="209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</row>
    <row r="739" ht="15.75" customHeight="1">
      <c r="A739" s="207"/>
      <c r="B739" s="207"/>
      <c r="C739" s="209"/>
      <c r="D739" s="209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</row>
    <row r="740" ht="15.75" customHeight="1">
      <c r="A740" s="207"/>
      <c r="B740" s="207"/>
      <c r="C740" s="209"/>
      <c r="D740" s="209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</row>
    <row r="741" ht="15.75" customHeight="1">
      <c r="A741" s="207"/>
      <c r="B741" s="207"/>
      <c r="C741" s="209"/>
      <c r="D741" s="209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</row>
    <row r="742" ht="15.75" customHeight="1">
      <c r="A742" s="207"/>
      <c r="B742" s="207"/>
      <c r="C742" s="209"/>
      <c r="D742" s="209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</row>
    <row r="743" ht="15.75" customHeight="1">
      <c r="A743" s="207"/>
      <c r="B743" s="207"/>
      <c r="C743" s="209"/>
      <c r="D743" s="209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</row>
    <row r="744" ht="15.75" customHeight="1">
      <c r="A744" s="207"/>
      <c r="B744" s="207"/>
      <c r="C744" s="209"/>
      <c r="D744" s="209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</row>
    <row r="745" ht="15.75" customHeight="1">
      <c r="A745" s="207"/>
      <c r="B745" s="207"/>
      <c r="C745" s="209"/>
      <c r="D745" s="209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</row>
    <row r="746" ht="15.75" customHeight="1">
      <c r="A746" s="207"/>
      <c r="B746" s="207"/>
      <c r="C746" s="209"/>
      <c r="D746" s="209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</row>
    <row r="747" ht="15.75" customHeight="1">
      <c r="A747" s="207"/>
      <c r="B747" s="207"/>
      <c r="C747" s="209"/>
      <c r="D747" s="209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</row>
    <row r="748" ht="15.75" customHeight="1">
      <c r="A748" s="207"/>
      <c r="B748" s="207"/>
      <c r="C748" s="209"/>
      <c r="D748" s="209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</row>
    <row r="749" ht="15.75" customHeight="1">
      <c r="A749" s="207"/>
      <c r="B749" s="207"/>
      <c r="C749" s="209"/>
      <c r="D749" s="209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</row>
    <row r="750" ht="15.75" customHeight="1">
      <c r="A750" s="207"/>
      <c r="B750" s="207"/>
      <c r="C750" s="209"/>
      <c r="D750" s="209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</row>
    <row r="751" ht="15.75" customHeight="1">
      <c r="A751" s="207"/>
      <c r="B751" s="207"/>
      <c r="C751" s="209"/>
      <c r="D751" s="209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</row>
    <row r="752" ht="15.75" customHeight="1">
      <c r="A752" s="207"/>
      <c r="B752" s="207"/>
      <c r="C752" s="209"/>
      <c r="D752" s="209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</row>
    <row r="753" ht="15.75" customHeight="1">
      <c r="A753" s="207"/>
      <c r="B753" s="207"/>
      <c r="C753" s="209"/>
      <c r="D753" s="209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</row>
    <row r="754" ht="15.75" customHeight="1">
      <c r="A754" s="207"/>
      <c r="B754" s="207"/>
      <c r="C754" s="209"/>
      <c r="D754" s="209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</row>
    <row r="755" ht="15.75" customHeight="1">
      <c r="A755" s="207"/>
      <c r="B755" s="207"/>
      <c r="C755" s="209"/>
      <c r="D755" s="209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</row>
    <row r="756" ht="15.75" customHeight="1">
      <c r="A756" s="207"/>
      <c r="B756" s="207"/>
      <c r="C756" s="209"/>
      <c r="D756" s="209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</row>
    <row r="757" ht="15.75" customHeight="1">
      <c r="A757" s="207"/>
      <c r="B757" s="207"/>
      <c r="C757" s="209"/>
      <c r="D757" s="209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</row>
    <row r="758" ht="15.75" customHeight="1">
      <c r="A758" s="207"/>
      <c r="B758" s="207"/>
      <c r="C758" s="209"/>
      <c r="D758" s="209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</row>
    <row r="759" ht="15.75" customHeight="1">
      <c r="A759" s="207"/>
      <c r="B759" s="207"/>
      <c r="C759" s="209"/>
      <c r="D759" s="209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</row>
    <row r="760" ht="15.75" customHeight="1">
      <c r="A760" s="207"/>
      <c r="B760" s="207"/>
      <c r="C760" s="209"/>
      <c r="D760" s="209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</row>
    <row r="761" ht="15.75" customHeight="1">
      <c r="A761" s="207"/>
      <c r="B761" s="207"/>
      <c r="C761" s="209"/>
      <c r="D761" s="209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</row>
    <row r="762" ht="15.75" customHeight="1">
      <c r="A762" s="207"/>
      <c r="B762" s="207"/>
      <c r="C762" s="209"/>
      <c r="D762" s="209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</row>
    <row r="763" ht="15.75" customHeight="1">
      <c r="A763" s="207"/>
      <c r="B763" s="207"/>
      <c r="C763" s="209"/>
      <c r="D763" s="209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</row>
    <row r="764" ht="15.75" customHeight="1">
      <c r="A764" s="207"/>
      <c r="B764" s="207"/>
      <c r="C764" s="209"/>
      <c r="D764" s="209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</row>
    <row r="765" ht="15.75" customHeight="1">
      <c r="A765" s="207"/>
      <c r="B765" s="207"/>
      <c r="C765" s="209"/>
      <c r="D765" s="209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</row>
    <row r="766" ht="15.75" customHeight="1">
      <c r="A766" s="207"/>
      <c r="B766" s="207"/>
      <c r="C766" s="209"/>
      <c r="D766" s="209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</row>
    <row r="767" ht="15.75" customHeight="1">
      <c r="A767" s="207"/>
      <c r="B767" s="207"/>
      <c r="C767" s="209"/>
      <c r="D767" s="209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</row>
    <row r="768" ht="15.75" customHeight="1">
      <c r="A768" s="207"/>
      <c r="B768" s="207"/>
      <c r="C768" s="209"/>
      <c r="D768" s="209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</row>
    <row r="769" ht="15.75" customHeight="1">
      <c r="A769" s="207"/>
      <c r="B769" s="207"/>
      <c r="C769" s="209"/>
      <c r="D769" s="209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</row>
    <row r="770" ht="15.75" customHeight="1">
      <c r="A770" s="207"/>
      <c r="B770" s="207"/>
      <c r="C770" s="209"/>
      <c r="D770" s="209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</row>
    <row r="771" ht="15.75" customHeight="1">
      <c r="A771" s="207"/>
      <c r="B771" s="207"/>
      <c r="C771" s="209"/>
      <c r="D771" s="209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</row>
    <row r="772" ht="15.75" customHeight="1">
      <c r="A772" s="207"/>
      <c r="B772" s="207"/>
      <c r="C772" s="209"/>
      <c r="D772" s="209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</row>
    <row r="773" ht="15.75" customHeight="1">
      <c r="A773" s="207"/>
      <c r="B773" s="207"/>
      <c r="C773" s="209"/>
      <c r="D773" s="209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</row>
    <row r="774" ht="15.75" customHeight="1">
      <c r="A774" s="207"/>
      <c r="B774" s="207"/>
      <c r="C774" s="209"/>
      <c r="D774" s="209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</row>
    <row r="775" ht="15.75" customHeight="1">
      <c r="A775" s="207"/>
      <c r="B775" s="207"/>
      <c r="C775" s="209"/>
      <c r="D775" s="209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</row>
    <row r="776" ht="15.75" customHeight="1">
      <c r="A776" s="207"/>
      <c r="B776" s="207"/>
      <c r="C776" s="209"/>
      <c r="D776" s="209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</row>
    <row r="777" ht="15.75" customHeight="1">
      <c r="A777" s="207"/>
      <c r="B777" s="207"/>
      <c r="C777" s="209"/>
      <c r="D777" s="209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</row>
    <row r="778" ht="15.75" customHeight="1">
      <c r="A778" s="207"/>
      <c r="B778" s="207"/>
      <c r="C778" s="209"/>
      <c r="D778" s="209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</row>
    <row r="779" ht="15.75" customHeight="1">
      <c r="A779" s="207"/>
      <c r="B779" s="207"/>
      <c r="C779" s="209"/>
      <c r="D779" s="209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</row>
    <row r="780" ht="15.75" customHeight="1">
      <c r="A780" s="207"/>
      <c r="B780" s="207"/>
      <c r="C780" s="209"/>
      <c r="D780" s="209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</row>
    <row r="781" ht="15.75" customHeight="1">
      <c r="A781" s="207"/>
      <c r="B781" s="207"/>
      <c r="C781" s="209"/>
      <c r="D781" s="209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</row>
    <row r="782" ht="15.75" customHeight="1">
      <c r="A782" s="207"/>
      <c r="B782" s="207"/>
      <c r="C782" s="209"/>
      <c r="D782" s="209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</row>
    <row r="783" ht="15.75" customHeight="1">
      <c r="A783" s="207"/>
      <c r="B783" s="207"/>
      <c r="C783" s="209"/>
      <c r="D783" s="209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</row>
    <row r="784" ht="15.75" customHeight="1">
      <c r="A784" s="207"/>
      <c r="B784" s="207"/>
      <c r="C784" s="209"/>
      <c r="D784" s="209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</row>
    <row r="785" ht="15.75" customHeight="1">
      <c r="A785" s="207"/>
      <c r="B785" s="207"/>
      <c r="C785" s="209"/>
      <c r="D785" s="209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</row>
    <row r="786" ht="15.75" customHeight="1">
      <c r="A786" s="207"/>
      <c r="B786" s="207"/>
      <c r="C786" s="209"/>
      <c r="D786" s="209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</row>
    <row r="787" ht="15.75" customHeight="1">
      <c r="A787" s="207"/>
      <c r="B787" s="207"/>
      <c r="C787" s="209"/>
      <c r="D787" s="209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</row>
    <row r="788" ht="15.75" customHeight="1">
      <c r="A788" s="207"/>
      <c r="B788" s="207"/>
      <c r="C788" s="209"/>
      <c r="D788" s="209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</row>
    <row r="789" ht="15.75" customHeight="1">
      <c r="A789" s="207"/>
      <c r="B789" s="207"/>
      <c r="C789" s="209"/>
      <c r="D789" s="209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</row>
    <row r="790" ht="15.75" customHeight="1">
      <c r="A790" s="207"/>
      <c r="B790" s="207"/>
      <c r="C790" s="209"/>
      <c r="D790" s="209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</row>
    <row r="791" ht="15.75" customHeight="1">
      <c r="A791" s="207"/>
      <c r="B791" s="207"/>
      <c r="C791" s="209"/>
      <c r="D791" s="209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</row>
    <row r="792" ht="15.75" customHeight="1">
      <c r="A792" s="207"/>
      <c r="B792" s="207"/>
      <c r="C792" s="209"/>
      <c r="D792" s="209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</row>
    <row r="793" ht="15.75" customHeight="1">
      <c r="A793" s="207"/>
      <c r="B793" s="207"/>
      <c r="C793" s="209"/>
      <c r="D793" s="209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</row>
    <row r="794" ht="15.75" customHeight="1">
      <c r="A794" s="207"/>
      <c r="B794" s="207"/>
      <c r="C794" s="209"/>
      <c r="D794" s="209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</row>
    <row r="795" ht="15.75" customHeight="1">
      <c r="A795" s="207"/>
      <c r="B795" s="207"/>
      <c r="C795" s="209"/>
      <c r="D795" s="209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</row>
    <row r="796" ht="15.75" customHeight="1">
      <c r="A796" s="207"/>
      <c r="B796" s="207"/>
      <c r="C796" s="209"/>
      <c r="D796" s="209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</row>
    <row r="797" ht="15.75" customHeight="1">
      <c r="A797" s="207"/>
      <c r="B797" s="207"/>
      <c r="C797" s="209"/>
      <c r="D797" s="209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</row>
    <row r="798" ht="15.75" customHeight="1">
      <c r="A798" s="207"/>
      <c r="B798" s="207"/>
      <c r="C798" s="209"/>
      <c r="D798" s="209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</row>
    <row r="799" ht="15.75" customHeight="1">
      <c r="A799" s="207"/>
      <c r="B799" s="207"/>
      <c r="C799" s="209"/>
      <c r="D799" s="209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</row>
    <row r="800" ht="15.75" customHeight="1">
      <c r="A800" s="207"/>
      <c r="B800" s="207"/>
      <c r="C800" s="209"/>
      <c r="D800" s="209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</row>
    <row r="801" ht="15.75" customHeight="1">
      <c r="A801" s="207"/>
      <c r="B801" s="207"/>
      <c r="C801" s="209"/>
      <c r="D801" s="209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</row>
    <row r="802" ht="15.75" customHeight="1">
      <c r="A802" s="207"/>
      <c r="B802" s="207"/>
      <c r="C802" s="209"/>
      <c r="D802" s="209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</row>
    <row r="803" ht="15.75" customHeight="1">
      <c r="A803" s="207"/>
      <c r="B803" s="207"/>
      <c r="C803" s="209"/>
      <c r="D803" s="209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</row>
    <row r="804" ht="15.75" customHeight="1">
      <c r="A804" s="207"/>
      <c r="B804" s="207"/>
      <c r="C804" s="209"/>
      <c r="D804" s="209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</row>
    <row r="805" ht="15.75" customHeight="1">
      <c r="A805" s="207"/>
      <c r="B805" s="207"/>
      <c r="C805" s="209"/>
      <c r="D805" s="209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</row>
    <row r="806" ht="15.75" customHeight="1">
      <c r="A806" s="207"/>
      <c r="B806" s="207"/>
      <c r="C806" s="209"/>
      <c r="D806" s="209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</row>
    <row r="807" ht="15.75" customHeight="1">
      <c r="A807" s="207"/>
      <c r="B807" s="207"/>
      <c r="C807" s="209"/>
      <c r="D807" s="209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</row>
    <row r="808" ht="15.75" customHeight="1">
      <c r="A808" s="207"/>
      <c r="B808" s="207"/>
      <c r="C808" s="209"/>
      <c r="D808" s="209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</row>
    <row r="809" ht="15.75" customHeight="1">
      <c r="A809" s="207"/>
      <c r="B809" s="207"/>
      <c r="C809" s="209"/>
      <c r="D809" s="209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</row>
    <row r="810" ht="15.75" customHeight="1">
      <c r="A810" s="207"/>
      <c r="B810" s="207"/>
      <c r="C810" s="209"/>
      <c r="D810" s="209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</row>
    <row r="811" ht="15.75" customHeight="1">
      <c r="A811" s="207"/>
      <c r="B811" s="207"/>
      <c r="C811" s="209"/>
      <c r="D811" s="209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</row>
    <row r="812" ht="15.75" customHeight="1">
      <c r="A812" s="207"/>
      <c r="B812" s="207"/>
      <c r="C812" s="209"/>
      <c r="D812" s="209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</row>
    <row r="813" ht="15.75" customHeight="1">
      <c r="A813" s="207"/>
      <c r="B813" s="207"/>
      <c r="C813" s="209"/>
      <c r="D813" s="209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</row>
    <row r="814" ht="15.75" customHeight="1">
      <c r="A814" s="207"/>
      <c r="B814" s="207"/>
      <c r="C814" s="209"/>
      <c r="D814" s="209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</row>
    <row r="815" ht="15.75" customHeight="1">
      <c r="A815" s="207"/>
      <c r="B815" s="207"/>
      <c r="C815" s="209"/>
      <c r="D815" s="209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</row>
    <row r="816" ht="15.75" customHeight="1">
      <c r="A816" s="207"/>
      <c r="B816" s="207"/>
      <c r="C816" s="209"/>
      <c r="D816" s="209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</row>
    <row r="817" ht="15.75" customHeight="1">
      <c r="A817" s="207"/>
      <c r="B817" s="207"/>
      <c r="C817" s="209"/>
      <c r="D817" s="209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</row>
    <row r="818" ht="15.75" customHeight="1">
      <c r="A818" s="207"/>
      <c r="B818" s="207"/>
      <c r="C818" s="209"/>
      <c r="D818" s="209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</row>
    <row r="819" ht="15.75" customHeight="1">
      <c r="A819" s="207"/>
      <c r="B819" s="207"/>
      <c r="C819" s="209"/>
      <c r="D819" s="209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</row>
    <row r="820" ht="15.75" customHeight="1">
      <c r="A820" s="207"/>
      <c r="B820" s="207"/>
      <c r="C820" s="209"/>
      <c r="D820" s="209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</row>
    <row r="821" ht="15.75" customHeight="1">
      <c r="A821" s="207"/>
      <c r="B821" s="207"/>
      <c r="C821" s="209"/>
      <c r="D821" s="209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</row>
    <row r="822" ht="15.75" customHeight="1">
      <c r="A822" s="207"/>
      <c r="B822" s="207"/>
      <c r="C822" s="209"/>
      <c r="D822" s="209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</row>
    <row r="823" ht="15.75" customHeight="1">
      <c r="A823" s="207"/>
      <c r="B823" s="207"/>
      <c r="C823" s="209"/>
      <c r="D823" s="209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</row>
    <row r="824" ht="15.75" customHeight="1">
      <c r="A824" s="207"/>
      <c r="B824" s="207"/>
      <c r="C824" s="209"/>
      <c r="D824" s="209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</row>
    <row r="825" ht="15.75" customHeight="1">
      <c r="A825" s="207"/>
      <c r="B825" s="207"/>
      <c r="C825" s="209"/>
      <c r="D825" s="209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</row>
    <row r="826" ht="15.75" customHeight="1">
      <c r="A826" s="207"/>
      <c r="B826" s="207"/>
      <c r="C826" s="209"/>
      <c r="D826" s="209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</row>
    <row r="827" ht="15.75" customHeight="1">
      <c r="A827" s="207"/>
      <c r="B827" s="207"/>
      <c r="C827" s="209"/>
      <c r="D827" s="209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</row>
    <row r="828" ht="15.75" customHeight="1">
      <c r="A828" s="207"/>
      <c r="B828" s="207"/>
      <c r="C828" s="209"/>
      <c r="D828" s="209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</row>
    <row r="829" ht="15.75" customHeight="1">
      <c r="A829" s="207"/>
      <c r="B829" s="207"/>
      <c r="C829" s="209"/>
      <c r="D829" s="209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</row>
    <row r="830" ht="15.75" customHeight="1">
      <c r="A830" s="207"/>
      <c r="B830" s="207"/>
      <c r="C830" s="209"/>
      <c r="D830" s="209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</row>
    <row r="831" ht="15.75" customHeight="1">
      <c r="A831" s="207"/>
      <c r="B831" s="207"/>
      <c r="C831" s="209"/>
      <c r="D831" s="209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</row>
    <row r="832" ht="15.75" customHeight="1">
      <c r="A832" s="207"/>
      <c r="B832" s="207"/>
      <c r="C832" s="209"/>
      <c r="D832" s="209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</row>
    <row r="833" ht="15.75" customHeight="1">
      <c r="A833" s="207"/>
      <c r="B833" s="207"/>
      <c r="C833" s="209"/>
      <c r="D833" s="209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</row>
    <row r="834" ht="15.75" customHeight="1">
      <c r="A834" s="207"/>
      <c r="B834" s="207"/>
      <c r="C834" s="209"/>
      <c r="D834" s="209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  <c r="AA834" s="207"/>
    </row>
    <row r="835" ht="15.75" customHeight="1">
      <c r="A835" s="207"/>
      <c r="B835" s="207"/>
      <c r="C835" s="209"/>
      <c r="D835" s="209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</row>
    <row r="836" ht="15.75" customHeight="1">
      <c r="A836" s="207"/>
      <c r="B836" s="207"/>
      <c r="C836" s="209"/>
      <c r="D836" s="209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  <c r="AA836" s="207"/>
    </row>
    <row r="837" ht="15.75" customHeight="1">
      <c r="A837" s="207"/>
      <c r="B837" s="207"/>
      <c r="C837" s="209"/>
      <c r="D837" s="209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</row>
    <row r="838" ht="15.75" customHeight="1">
      <c r="A838" s="207"/>
      <c r="B838" s="207"/>
      <c r="C838" s="209"/>
      <c r="D838" s="209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</row>
    <row r="839" ht="15.75" customHeight="1">
      <c r="A839" s="207"/>
      <c r="B839" s="207"/>
      <c r="C839" s="209"/>
      <c r="D839" s="209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</row>
    <row r="840" ht="15.75" customHeight="1">
      <c r="A840" s="207"/>
      <c r="B840" s="207"/>
      <c r="C840" s="209"/>
      <c r="D840" s="209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</row>
    <row r="841" ht="15.75" customHeight="1">
      <c r="A841" s="207"/>
      <c r="B841" s="207"/>
      <c r="C841" s="209"/>
      <c r="D841" s="209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</row>
    <row r="842" ht="15.75" customHeight="1">
      <c r="A842" s="207"/>
      <c r="B842" s="207"/>
      <c r="C842" s="209"/>
      <c r="D842" s="209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  <c r="AA842" s="207"/>
    </row>
    <row r="843" ht="15.75" customHeight="1">
      <c r="A843" s="207"/>
      <c r="B843" s="207"/>
      <c r="C843" s="209"/>
      <c r="D843" s="209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</row>
    <row r="844" ht="15.75" customHeight="1">
      <c r="A844" s="207"/>
      <c r="B844" s="207"/>
      <c r="C844" s="209"/>
      <c r="D844" s="209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</row>
    <row r="845" ht="15.75" customHeight="1">
      <c r="A845" s="207"/>
      <c r="B845" s="207"/>
      <c r="C845" s="209"/>
      <c r="D845" s="209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</row>
    <row r="846" ht="15.75" customHeight="1">
      <c r="A846" s="207"/>
      <c r="B846" s="207"/>
      <c r="C846" s="209"/>
      <c r="D846" s="209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</row>
    <row r="847" ht="15.75" customHeight="1">
      <c r="A847" s="207"/>
      <c r="B847" s="207"/>
      <c r="C847" s="209"/>
      <c r="D847" s="209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</row>
    <row r="848" ht="15.75" customHeight="1">
      <c r="A848" s="207"/>
      <c r="B848" s="207"/>
      <c r="C848" s="209"/>
      <c r="D848" s="209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</row>
    <row r="849" ht="15.75" customHeight="1">
      <c r="A849" s="207"/>
      <c r="B849" s="207"/>
      <c r="C849" s="209"/>
      <c r="D849" s="209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</row>
    <row r="850" ht="15.75" customHeight="1">
      <c r="A850" s="207"/>
      <c r="B850" s="207"/>
      <c r="C850" s="209"/>
      <c r="D850" s="209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</row>
    <row r="851" ht="15.75" customHeight="1">
      <c r="A851" s="207"/>
      <c r="B851" s="207"/>
      <c r="C851" s="209"/>
      <c r="D851" s="209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</row>
    <row r="852" ht="15.75" customHeight="1">
      <c r="A852" s="207"/>
      <c r="B852" s="207"/>
      <c r="C852" s="209"/>
      <c r="D852" s="209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</row>
    <row r="853" ht="15.75" customHeight="1">
      <c r="A853" s="207"/>
      <c r="B853" s="207"/>
      <c r="C853" s="209"/>
      <c r="D853" s="209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</row>
    <row r="854" ht="15.75" customHeight="1">
      <c r="A854" s="207"/>
      <c r="B854" s="207"/>
      <c r="C854" s="209"/>
      <c r="D854" s="209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</row>
    <row r="855" ht="15.75" customHeight="1">
      <c r="A855" s="207"/>
      <c r="B855" s="207"/>
      <c r="C855" s="209"/>
      <c r="D855" s="209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</row>
    <row r="856" ht="15.75" customHeight="1">
      <c r="A856" s="207"/>
      <c r="B856" s="207"/>
      <c r="C856" s="209"/>
      <c r="D856" s="209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</row>
    <row r="857" ht="15.75" customHeight="1">
      <c r="A857" s="207"/>
      <c r="B857" s="207"/>
      <c r="C857" s="209"/>
      <c r="D857" s="209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</row>
    <row r="858" ht="15.75" customHeight="1">
      <c r="A858" s="207"/>
      <c r="B858" s="207"/>
      <c r="C858" s="209"/>
      <c r="D858" s="209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</row>
    <row r="859" ht="15.75" customHeight="1">
      <c r="A859" s="207"/>
      <c r="B859" s="207"/>
      <c r="C859" s="209"/>
      <c r="D859" s="209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</row>
    <row r="860" ht="15.75" customHeight="1">
      <c r="A860" s="207"/>
      <c r="B860" s="207"/>
      <c r="C860" s="209"/>
      <c r="D860" s="209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</row>
    <row r="861" ht="15.75" customHeight="1">
      <c r="A861" s="207"/>
      <c r="B861" s="207"/>
      <c r="C861" s="209"/>
      <c r="D861" s="209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</row>
    <row r="862" ht="15.75" customHeight="1">
      <c r="A862" s="207"/>
      <c r="B862" s="207"/>
      <c r="C862" s="209"/>
      <c r="D862" s="209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</row>
    <row r="863" ht="15.75" customHeight="1">
      <c r="A863" s="207"/>
      <c r="B863" s="207"/>
      <c r="C863" s="209"/>
      <c r="D863" s="209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</row>
    <row r="864" ht="15.75" customHeight="1">
      <c r="A864" s="207"/>
      <c r="B864" s="207"/>
      <c r="C864" s="209"/>
      <c r="D864" s="209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</row>
    <row r="865" ht="15.75" customHeight="1">
      <c r="A865" s="207"/>
      <c r="B865" s="207"/>
      <c r="C865" s="209"/>
      <c r="D865" s="209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</row>
    <row r="866" ht="15.75" customHeight="1">
      <c r="A866" s="207"/>
      <c r="B866" s="207"/>
      <c r="C866" s="209"/>
      <c r="D866" s="209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</row>
    <row r="867" ht="15.75" customHeight="1">
      <c r="A867" s="207"/>
      <c r="B867" s="207"/>
      <c r="C867" s="209"/>
      <c r="D867" s="209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</row>
    <row r="868" ht="15.75" customHeight="1">
      <c r="A868" s="207"/>
      <c r="B868" s="207"/>
      <c r="C868" s="209"/>
      <c r="D868" s="209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</row>
    <row r="869" ht="15.75" customHeight="1">
      <c r="A869" s="207"/>
      <c r="B869" s="207"/>
      <c r="C869" s="209"/>
      <c r="D869" s="209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</row>
    <row r="870" ht="15.75" customHeight="1">
      <c r="A870" s="207"/>
      <c r="B870" s="207"/>
      <c r="C870" s="209"/>
      <c r="D870" s="209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</row>
    <row r="871" ht="15.75" customHeight="1">
      <c r="A871" s="207"/>
      <c r="B871" s="207"/>
      <c r="C871" s="209"/>
      <c r="D871" s="209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</row>
    <row r="872" ht="15.75" customHeight="1">
      <c r="A872" s="207"/>
      <c r="B872" s="207"/>
      <c r="C872" s="209"/>
      <c r="D872" s="209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</row>
    <row r="873" ht="15.75" customHeight="1">
      <c r="A873" s="207"/>
      <c r="B873" s="207"/>
      <c r="C873" s="209"/>
      <c r="D873" s="209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</row>
    <row r="874" ht="15.75" customHeight="1">
      <c r="A874" s="207"/>
      <c r="B874" s="207"/>
      <c r="C874" s="209"/>
      <c r="D874" s="209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</row>
    <row r="875" ht="15.75" customHeight="1">
      <c r="A875" s="207"/>
      <c r="B875" s="207"/>
      <c r="C875" s="209"/>
      <c r="D875" s="209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</row>
    <row r="876" ht="15.75" customHeight="1">
      <c r="A876" s="207"/>
      <c r="B876" s="207"/>
      <c r="C876" s="209"/>
      <c r="D876" s="209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</row>
    <row r="877" ht="15.75" customHeight="1">
      <c r="A877" s="207"/>
      <c r="B877" s="207"/>
      <c r="C877" s="209"/>
      <c r="D877" s="209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</row>
    <row r="878" ht="15.75" customHeight="1">
      <c r="A878" s="207"/>
      <c r="B878" s="207"/>
      <c r="C878" s="209"/>
      <c r="D878" s="209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</row>
    <row r="879" ht="15.75" customHeight="1">
      <c r="A879" s="207"/>
      <c r="B879" s="207"/>
      <c r="C879" s="209"/>
      <c r="D879" s="209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</row>
    <row r="880" ht="15.75" customHeight="1">
      <c r="A880" s="207"/>
      <c r="B880" s="207"/>
      <c r="C880" s="209"/>
      <c r="D880" s="209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</row>
    <row r="881" ht="15.75" customHeight="1">
      <c r="A881" s="207"/>
      <c r="B881" s="207"/>
      <c r="C881" s="209"/>
      <c r="D881" s="209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</row>
    <row r="882" ht="15.75" customHeight="1">
      <c r="A882" s="207"/>
      <c r="B882" s="207"/>
      <c r="C882" s="209"/>
      <c r="D882" s="209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</row>
    <row r="883" ht="15.75" customHeight="1">
      <c r="A883" s="207"/>
      <c r="B883" s="207"/>
      <c r="C883" s="209"/>
      <c r="D883" s="209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</row>
    <row r="884" ht="15.75" customHeight="1">
      <c r="A884" s="207"/>
      <c r="B884" s="207"/>
      <c r="C884" s="209"/>
      <c r="D884" s="209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</row>
    <row r="885" ht="15.75" customHeight="1">
      <c r="A885" s="207"/>
      <c r="B885" s="207"/>
      <c r="C885" s="209"/>
      <c r="D885" s="209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</row>
    <row r="886" ht="15.75" customHeight="1">
      <c r="A886" s="207"/>
      <c r="B886" s="207"/>
      <c r="C886" s="209"/>
      <c r="D886" s="209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</row>
    <row r="887" ht="15.75" customHeight="1">
      <c r="A887" s="207"/>
      <c r="B887" s="207"/>
      <c r="C887" s="209"/>
      <c r="D887" s="209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</row>
    <row r="888" ht="15.75" customHeight="1">
      <c r="A888" s="207"/>
      <c r="B888" s="207"/>
      <c r="C888" s="209"/>
      <c r="D888" s="209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</row>
    <row r="889" ht="15.75" customHeight="1">
      <c r="A889" s="207"/>
      <c r="B889" s="207"/>
      <c r="C889" s="209"/>
      <c r="D889" s="209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</row>
    <row r="890" ht="15.75" customHeight="1">
      <c r="A890" s="207"/>
      <c r="B890" s="207"/>
      <c r="C890" s="209"/>
      <c r="D890" s="209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</row>
    <row r="891" ht="15.75" customHeight="1">
      <c r="A891" s="207"/>
      <c r="B891" s="207"/>
      <c r="C891" s="209"/>
      <c r="D891" s="209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  <c r="AA891" s="207"/>
    </row>
    <row r="892" ht="15.75" customHeight="1">
      <c r="A892" s="207"/>
      <c r="B892" s="207"/>
      <c r="C892" s="209"/>
      <c r="D892" s="209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  <c r="AA892" s="207"/>
    </row>
    <row r="893" ht="15.75" customHeight="1">
      <c r="A893" s="207"/>
      <c r="B893" s="207"/>
      <c r="C893" s="209"/>
      <c r="D893" s="209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</row>
    <row r="894" ht="15.75" customHeight="1">
      <c r="A894" s="207"/>
      <c r="B894" s="207"/>
      <c r="C894" s="209"/>
      <c r="D894" s="209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</row>
    <row r="895" ht="15.75" customHeight="1">
      <c r="A895" s="207"/>
      <c r="B895" s="207"/>
      <c r="C895" s="209"/>
      <c r="D895" s="209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</row>
    <row r="896" ht="15.75" customHeight="1">
      <c r="A896" s="207"/>
      <c r="B896" s="207"/>
      <c r="C896" s="209"/>
      <c r="D896" s="209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</row>
    <row r="897" ht="15.75" customHeight="1">
      <c r="A897" s="207"/>
      <c r="B897" s="207"/>
      <c r="C897" s="209"/>
      <c r="D897" s="209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</row>
    <row r="898" ht="15.75" customHeight="1">
      <c r="A898" s="207"/>
      <c r="B898" s="207"/>
      <c r="C898" s="209"/>
      <c r="D898" s="209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</row>
    <row r="899" ht="15.75" customHeight="1">
      <c r="A899" s="207"/>
      <c r="B899" s="207"/>
      <c r="C899" s="209"/>
      <c r="D899" s="209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</row>
    <row r="900" ht="15.75" customHeight="1">
      <c r="A900" s="207"/>
      <c r="B900" s="207"/>
      <c r="C900" s="209"/>
      <c r="D900" s="209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  <c r="AA900" s="207"/>
    </row>
    <row r="901" ht="15.75" customHeight="1">
      <c r="A901" s="207"/>
      <c r="B901" s="207"/>
      <c r="C901" s="209"/>
      <c r="D901" s="209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  <c r="AA901" s="207"/>
    </row>
    <row r="902" ht="15.75" customHeight="1">
      <c r="A902" s="207"/>
      <c r="B902" s="207"/>
      <c r="C902" s="209"/>
      <c r="D902" s="209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  <c r="AA902" s="207"/>
    </row>
    <row r="903" ht="15.75" customHeight="1">
      <c r="A903" s="207"/>
      <c r="B903" s="207"/>
      <c r="C903" s="209"/>
      <c r="D903" s="209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  <c r="AA903" s="207"/>
    </row>
    <row r="904" ht="15.75" customHeight="1">
      <c r="A904" s="207"/>
      <c r="B904" s="207"/>
      <c r="C904" s="209"/>
      <c r="D904" s="209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  <c r="AA904" s="207"/>
    </row>
    <row r="905" ht="15.75" customHeight="1">
      <c r="A905" s="207"/>
      <c r="B905" s="207"/>
      <c r="C905" s="209"/>
      <c r="D905" s="209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  <c r="AA905" s="207"/>
    </row>
    <row r="906" ht="15.75" customHeight="1">
      <c r="A906" s="207"/>
      <c r="B906" s="207"/>
      <c r="C906" s="209"/>
      <c r="D906" s="209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  <c r="AA906" s="207"/>
    </row>
    <row r="907" ht="15.75" customHeight="1">
      <c r="A907" s="207"/>
      <c r="B907" s="207"/>
      <c r="C907" s="209"/>
      <c r="D907" s="209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  <c r="AA907" s="207"/>
    </row>
    <row r="908" ht="15.75" customHeight="1">
      <c r="A908" s="207"/>
      <c r="B908" s="207"/>
      <c r="C908" s="209"/>
      <c r="D908" s="209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  <c r="AA908" s="207"/>
    </row>
    <row r="909" ht="15.75" customHeight="1">
      <c r="A909" s="207"/>
      <c r="B909" s="207"/>
      <c r="C909" s="209"/>
      <c r="D909" s="209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  <c r="AA909" s="207"/>
    </row>
    <row r="910" ht="15.75" customHeight="1">
      <c r="A910" s="207"/>
      <c r="B910" s="207"/>
      <c r="C910" s="209"/>
      <c r="D910" s="209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  <c r="AA910" s="207"/>
    </row>
    <row r="911" ht="15.75" customHeight="1">
      <c r="A911" s="207"/>
      <c r="B911" s="207"/>
      <c r="C911" s="209"/>
      <c r="D911" s="209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  <c r="AA911" s="207"/>
    </row>
    <row r="912" ht="15.75" customHeight="1">
      <c r="A912" s="207"/>
      <c r="B912" s="207"/>
      <c r="C912" s="209"/>
      <c r="D912" s="209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  <c r="AA912" s="207"/>
    </row>
    <row r="913" ht="15.75" customHeight="1">
      <c r="A913" s="207"/>
      <c r="B913" s="207"/>
      <c r="C913" s="209"/>
      <c r="D913" s="209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  <c r="AA913" s="207"/>
    </row>
    <row r="914" ht="15.75" customHeight="1">
      <c r="A914" s="207"/>
      <c r="B914" s="207"/>
      <c r="C914" s="209"/>
      <c r="D914" s="209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  <c r="AA914" s="207"/>
    </row>
    <row r="915" ht="15.75" customHeight="1">
      <c r="A915" s="207"/>
      <c r="B915" s="207"/>
      <c r="C915" s="209"/>
      <c r="D915" s="209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  <c r="AA915" s="207"/>
    </row>
    <row r="916" ht="15.75" customHeight="1">
      <c r="A916" s="207"/>
      <c r="B916" s="207"/>
      <c r="C916" s="209"/>
      <c r="D916" s="209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  <c r="AA916" s="207"/>
    </row>
    <row r="917" ht="15.75" customHeight="1">
      <c r="A917" s="207"/>
      <c r="B917" s="207"/>
      <c r="C917" s="209"/>
      <c r="D917" s="209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  <c r="AA917" s="207"/>
    </row>
    <row r="918" ht="15.75" customHeight="1">
      <c r="A918" s="207"/>
      <c r="B918" s="207"/>
      <c r="C918" s="209"/>
      <c r="D918" s="209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  <c r="AA918" s="207"/>
    </row>
    <row r="919" ht="15.75" customHeight="1">
      <c r="A919" s="207"/>
      <c r="B919" s="207"/>
      <c r="C919" s="209"/>
      <c r="D919" s="209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  <c r="AA919" s="207"/>
    </row>
    <row r="920" ht="15.75" customHeight="1">
      <c r="A920" s="207"/>
      <c r="B920" s="207"/>
      <c r="C920" s="209"/>
      <c r="D920" s="209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  <c r="AA920" s="207"/>
    </row>
    <row r="921" ht="15.75" customHeight="1">
      <c r="A921" s="207"/>
      <c r="B921" s="207"/>
      <c r="C921" s="209"/>
      <c r="D921" s="209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  <c r="AA921" s="207"/>
    </row>
    <row r="922" ht="15.75" customHeight="1">
      <c r="A922" s="207"/>
      <c r="B922" s="207"/>
      <c r="C922" s="209"/>
      <c r="D922" s="209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  <c r="AA922" s="207"/>
    </row>
    <row r="923" ht="15.75" customHeight="1">
      <c r="A923" s="207"/>
      <c r="B923" s="207"/>
      <c r="C923" s="209"/>
      <c r="D923" s="209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  <c r="AA923" s="207"/>
    </row>
    <row r="924" ht="15.75" customHeight="1">
      <c r="A924" s="207"/>
      <c r="B924" s="207"/>
      <c r="C924" s="209"/>
      <c r="D924" s="209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  <c r="AA924" s="207"/>
    </row>
    <row r="925" ht="15.75" customHeight="1">
      <c r="A925" s="207"/>
      <c r="B925" s="207"/>
      <c r="C925" s="209"/>
      <c r="D925" s="209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  <c r="AA925" s="207"/>
    </row>
    <row r="926" ht="15.75" customHeight="1">
      <c r="A926" s="207"/>
      <c r="B926" s="207"/>
      <c r="C926" s="209"/>
      <c r="D926" s="209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  <c r="AA926" s="207"/>
    </row>
    <row r="927" ht="15.75" customHeight="1">
      <c r="A927" s="207"/>
      <c r="B927" s="207"/>
      <c r="C927" s="209"/>
      <c r="D927" s="209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  <c r="AA927" s="207"/>
    </row>
    <row r="928" ht="15.75" customHeight="1">
      <c r="A928" s="207"/>
      <c r="B928" s="207"/>
      <c r="C928" s="209"/>
      <c r="D928" s="209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  <c r="AA928" s="207"/>
    </row>
    <row r="929" ht="15.75" customHeight="1">
      <c r="A929" s="207"/>
      <c r="B929" s="207"/>
      <c r="C929" s="209"/>
      <c r="D929" s="209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  <c r="AA929" s="207"/>
    </row>
    <row r="930" ht="15.75" customHeight="1">
      <c r="A930" s="207"/>
      <c r="B930" s="207"/>
      <c r="C930" s="209"/>
      <c r="D930" s="209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  <c r="AA930" s="207"/>
    </row>
    <row r="931" ht="15.75" customHeight="1">
      <c r="A931" s="207"/>
      <c r="B931" s="207"/>
      <c r="C931" s="209"/>
      <c r="D931" s="209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  <c r="AA931" s="207"/>
    </row>
    <row r="932" ht="15.75" customHeight="1">
      <c r="A932" s="207"/>
      <c r="B932" s="207"/>
      <c r="C932" s="209"/>
      <c r="D932" s="209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  <c r="AA932" s="207"/>
    </row>
    <row r="933" ht="15.75" customHeight="1">
      <c r="A933" s="207"/>
      <c r="B933" s="207"/>
      <c r="C933" s="209"/>
      <c r="D933" s="209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  <c r="AA933" s="207"/>
    </row>
    <row r="934" ht="15.75" customHeight="1">
      <c r="A934" s="207"/>
      <c r="B934" s="207"/>
      <c r="C934" s="209"/>
      <c r="D934" s="209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  <c r="AA934" s="207"/>
    </row>
    <row r="935" ht="15.75" customHeight="1">
      <c r="A935" s="207"/>
      <c r="B935" s="207"/>
      <c r="C935" s="209"/>
      <c r="D935" s="209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  <c r="AA935" s="207"/>
    </row>
    <row r="936" ht="15.75" customHeight="1">
      <c r="A936" s="207"/>
      <c r="B936" s="207"/>
      <c r="C936" s="209"/>
      <c r="D936" s="209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  <c r="AA936" s="207"/>
    </row>
    <row r="937" ht="15.75" customHeight="1">
      <c r="A937" s="207"/>
      <c r="B937" s="207"/>
      <c r="C937" s="209"/>
      <c r="D937" s="209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  <c r="AA937" s="207"/>
    </row>
    <row r="938" ht="15.75" customHeight="1">
      <c r="A938" s="207"/>
      <c r="B938" s="207"/>
      <c r="C938" s="209"/>
      <c r="D938" s="209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  <c r="AA938" s="207"/>
    </row>
    <row r="939" ht="15.75" customHeight="1">
      <c r="A939" s="207"/>
      <c r="B939" s="207"/>
      <c r="C939" s="209"/>
      <c r="D939" s="209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  <c r="AA939" s="207"/>
    </row>
    <row r="940" ht="15.75" customHeight="1">
      <c r="A940" s="207"/>
      <c r="B940" s="207"/>
      <c r="C940" s="209"/>
      <c r="D940" s="209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  <c r="AA940" s="207"/>
    </row>
    <row r="941" ht="15.75" customHeight="1">
      <c r="A941" s="207"/>
      <c r="B941" s="207"/>
      <c r="C941" s="209"/>
      <c r="D941" s="209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  <c r="AA941" s="207"/>
    </row>
    <row r="942" ht="15.75" customHeight="1">
      <c r="A942" s="207"/>
      <c r="B942" s="207"/>
      <c r="C942" s="209"/>
      <c r="D942" s="209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  <c r="AA942" s="207"/>
    </row>
    <row r="943" ht="15.75" customHeight="1">
      <c r="A943" s="207"/>
      <c r="B943" s="207"/>
      <c r="C943" s="209"/>
      <c r="D943" s="209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  <c r="AA943" s="207"/>
    </row>
    <row r="944" ht="15.75" customHeight="1">
      <c r="A944" s="207"/>
      <c r="B944" s="207"/>
      <c r="C944" s="209"/>
      <c r="D944" s="209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  <c r="AA944" s="207"/>
    </row>
    <row r="945" ht="15.75" customHeight="1">
      <c r="A945" s="207"/>
      <c r="B945" s="207"/>
      <c r="C945" s="209"/>
      <c r="D945" s="209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  <c r="AA945" s="207"/>
    </row>
    <row r="946" ht="15.75" customHeight="1">
      <c r="A946" s="207"/>
      <c r="B946" s="207"/>
      <c r="C946" s="209"/>
      <c r="D946" s="209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  <c r="AA946" s="207"/>
    </row>
    <row r="947" ht="15.75" customHeight="1">
      <c r="A947" s="207"/>
      <c r="B947" s="207"/>
      <c r="C947" s="209"/>
      <c r="D947" s="209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  <c r="AA947" s="207"/>
    </row>
    <row r="948" ht="15.75" customHeight="1">
      <c r="A948" s="207"/>
      <c r="B948" s="207"/>
      <c r="C948" s="209"/>
      <c r="D948" s="209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  <c r="AA948" s="207"/>
    </row>
    <row r="949" ht="15.75" customHeight="1">
      <c r="A949" s="207"/>
      <c r="B949" s="207"/>
      <c r="C949" s="209"/>
      <c r="D949" s="209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  <c r="AA949" s="207"/>
    </row>
    <row r="950" ht="15.75" customHeight="1">
      <c r="A950" s="207"/>
      <c r="B950" s="207"/>
      <c r="C950" s="209"/>
      <c r="D950" s="209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  <c r="AA950" s="207"/>
    </row>
    <row r="951" ht="15.75" customHeight="1">
      <c r="A951" s="207"/>
      <c r="B951" s="207"/>
      <c r="C951" s="209"/>
      <c r="D951" s="209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  <c r="AA951" s="207"/>
    </row>
    <row r="952" ht="15.75" customHeight="1">
      <c r="A952" s="207"/>
      <c r="B952" s="207"/>
      <c r="C952" s="209"/>
      <c r="D952" s="209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  <c r="AA952" s="207"/>
    </row>
    <row r="953" ht="15.75" customHeight="1">
      <c r="A953" s="207"/>
      <c r="B953" s="207"/>
      <c r="C953" s="209"/>
      <c r="D953" s="209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  <c r="AA953" s="207"/>
    </row>
    <row r="954" ht="15.75" customHeight="1">
      <c r="A954" s="207"/>
      <c r="B954" s="207"/>
      <c r="C954" s="209"/>
      <c r="D954" s="209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  <c r="AA954" s="207"/>
    </row>
    <row r="955" ht="15.75" customHeight="1">
      <c r="A955" s="207"/>
      <c r="B955" s="207"/>
      <c r="C955" s="209"/>
      <c r="D955" s="209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  <c r="AA955" s="207"/>
    </row>
    <row r="956" ht="15.75" customHeight="1">
      <c r="A956" s="207"/>
      <c r="B956" s="207"/>
      <c r="C956" s="209"/>
      <c r="D956" s="209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  <c r="AA956" s="207"/>
    </row>
    <row r="957" ht="15.75" customHeight="1">
      <c r="A957" s="207"/>
      <c r="B957" s="207"/>
      <c r="C957" s="209"/>
      <c r="D957" s="209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  <c r="AA957" s="207"/>
    </row>
    <row r="958" ht="15.75" customHeight="1">
      <c r="A958" s="207"/>
      <c r="B958" s="207"/>
      <c r="C958" s="209"/>
      <c r="D958" s="209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  <c r="AA958" s="207"/>
    </row>
    <row r="959" ht="15.75" customHeight="1">
      <c r="A959" s="207"/>
      <c r="B959" s="207"/>
      <c r="C959" s="209"/>
      <c r="D959" s="209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  <c r="AA959" s="207"/>
    </row>
    <row r="960" ht="15.75" customHeight="1">
      <c r="A960" s="207"/>
      <c r="B960" s="207"/>
      <c r="C960" s="209"/>
      <c r="D960" s="209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  <c r="AA960" s="207"/>
    </row>
    <row r="961" ht="15.75" customHeight="1">
      <c r="A961" s="207"/>
      <c r="B961" s="207"/>
      <c r="C961" s="209"/>
      <c r="D961" s="209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  <c r="AA961" s="207"/>
    </row>
    <row r="962" ht="15.75" customHeight="1">
      <c r="A962" s="207"/>
      <c r="B962" s="207"/>
      <c r="C962" s="209"/>
      <c r="D962" s="209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  <c r="AA962" s="207"/>
    </row>
    <row r="963" ht="15.75" customHeight="1">
      <c r="A963" s="207"/>
      <c r="B963" s="207"/>
      <c r="C963" s="209"/>
      <c r="D963" s="209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  <c r="AA963" s="207"/>
    </row>
    <row r="964" ht="15.75" customHeight="1">
      <c r="A964" s="207"/>
      <c r="B964" s="207"/>
      <c r="C964" s="209"/>
      <c r="D964" s="209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  <c r="AA964" s="207"/>
    </row>
    <row r="965" ht="15.75" customHeight="1">
      <c r="A965" s="207"/>
      <c r="B965" s="207"/>
      <c r="C965" s="209"/>
      <c r="D965" s="209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  <c r="AA965" s="207"/>
    </row>
    <row r="966" ht="15.75" customHeight="1">
      <c r="A966" s="207"/>
      <c r="B966" s="207"/>
      <c r="C966" s="209"/>
      <c r="D966" s="209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</row>
    <row r="967" ht="15.75" customHeight="1">
      <c r="A967" s="207"/>
      <c r="B967" s="207"/>
      <c r="C967" s="209"/>
      <c r="D967" s="209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</row>
    <row r="968" ht="15.75" customHeight="1">
      <c r="A968" s="207"/>
      <c r="B968" s="207"/>
      <c r="C968" s="209"/>
      <c r="D968" s="209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</row>
    <row r="969" ht="15.75" customHeight="1">
      <c r="A969" s="207"/>
      <c r="B969" s="207"/>
      <c r="C969" s="209"/>
      <c r="D969" s="209"/>
      <c r="E969" s="207"/>
      <c r="F969" s="207"/>
      <c r="G969" s="207"/>
      <c r="H969" s="207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207"/>
      <c r="V969" s="207"/>
      <c r="W969" s="207"/>
      <c r="X969" s="207"/>
      <c r="Y969" s="207"/>
      <c r="Z969" s="207"/>
      <c r="AA969" s="207"/>
    </row>
    <row r="970" ht="15.75" customHeight="1">
      <c r="A970" s="207"/>
      <c r="B970" s="207"/>
      <c r="C970" s="209"/>
      <c r="D970" s="209"/>
      <c r="E970" s="207"/>
      <c r="F970" s="207"/>
      <c r="G970" s="207"/>
      <c r="H970" s="207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207"/>
      <c r="V970" s="207"/>
      <c r="W970" s="207"/>
      <c r="X970" s="207"/>
      <c r="Y970" s="207"/>
      <c r="Z970" s="207"/>
      <c r="AA970" s="207"/>
    </row>
    <row r="971" ht="15.75" customHeight="1">
      <c r="A971" s="207"/>
      <c r="B971" s="207"/>
      <c r="C971" s="209"/>
      <c r="D971" s="209"/>
      <c r="E971" s="207"/>
      <c r="F971" s="207"/>
      <c r="G971" s="207"/>
      <c r="H971" s="207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207"/>
      <c r="V971" s="207"/>
      <c r="W971" s="207"/>
      <c r="X971" s="207"/>
      <c r="Y971" s="207"/>
      <c r="Z971" s="207"/>
      <c r="AA971" s="207"/>
    </row>
    <row r="972" ht="15.75" customHeight="1">
      <c r="A972" s="207"/>
      <c r="B972" s="207"/>
      <c r="C972" s="209"/>
      <c r="D972" s="209"/>
      <c r="E972" s="207"/>
      <c r="F972" s="207"/>
      <c r="G972" s="207"/>
      <c r="H972" s="207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207"/>
      <c r="V972" s="207"/>
      <c r="W972" s="207"/>
      <c r="X972" s="207"/>
      <c r="Y972" s="207"/>
      <c r="Z972" s="207"/>
      <c r="AA972" s="207"/>
    </row>
    <row r="973" ht="15.75" customHeight="1">
      <c r="A973" s="207"/>
      <c r="B973" s="207"/>
      <c r="C973" s="209"/>
      <c r="D973" s="209"/>
      <c r="E973" s="207"/>
      <c r="F973" s="207"/>
      <c r="G973" s="207"/>
      <c r="H973" s="207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207"/>
      <c r="V973" s="207"/>
      <c r="W973" s="207"/>
      <c r="X973" s="207"/>
      <c r="Y973" s="207"/>
      <c r="Z973" s="207"/>
      <c r="AA973" s="207"/>
    </row>
    <row r="974" ht="15.75" customHeight="1">
      <c r="A974" s="207"/>
      <c r="B974" s="207"/>
      <c r="C974" s="209"/>
      <c r="D974" s="209"/>
      <c r="E974" s="207"/>
      <c r="F974" s="207"/>
      <c r="G974" s="207"/>
      <c r="H974" s="207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207"/>
      <c r="V974" s="207"/>
      <c r="W974" s="207"/>
      <c r="X974" s="207"/>
      <c r="Y974" s="207"/>
      <c r="Z974" s="207"/>
      <c r="AA974" s="207"/>
    </row>
    <row r="975" ht="15.75" customHeight="1">
      <c r="A975" s="207"/>
      <c r="B975" s="207"/>
      <c r="C975" s="209"/>
      <c r="D975" s="209"/>
      <c r="E975" s="207"/>
      <c r="F975" s="207"/>
      <c r="G975" s="207"/>
      <c r="H975" s="207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207"/>
      <c r="V975" s="207"/>
      <c r="W975" s="207"/>
      <c r="X975" s="207"/>
      <c r="Y975" s="207"/>
      <c r="Z975" s="207"/>
      <c r="AA975" s="207"/>
    </row>
    <row r="976" ht="15.75" customHeight="1">
      <c r="A976" s="207"/>
      <c r="B976" s="207"/>
      <c r="C976" s="209"/>
      <c r="D976" s="209"/>
      <c r="E976" s="207"/>
      <c r="F976" s="207"/>
      <c r="G976" s="207"/>
      <c r="H976" s="207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207"/>
      <c r="V976" s="207"/>
      <c r="W976" s="207"/>
      <c r="X976" s="207"/>
      <c r="Y976" s="207"/>
      <c r="Z976" s="207"/>
      <c r="AA976" s="207"/>
    </row>
    <row r="977" ht="15.75" customHeight="1">
      <c r="A977" s="207"/>
      <c r="B977" s="207"/>
      <c r="C977" s="209"/>
      <c r="D977" s="209"/>
      <c r="E977" s="207"/>
      <c r="F977" s="207"/>
      <c r="G977" s="207"/>
      <c r="H977" s="207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207"/>
      <c r="V977" s="207"/>
      <c r="W977" s="207"/>
      <c r="X977" s="207"/>
      <c r="Y977" s="207"/>
      <c r="Z977" s="207"/>
      <c r="AA977" s="207"/>
    </row>
    <row r="978" ht="15.75" customHeight="1">
      <c r="A978" s="207"/>
      <c r="B978" s="207"/>
      <c r="C978" s="209"/>
      <c r="D978" s="209"/>
      <c r="E978" s="207"/>
      <c r="F978" s="207"/>
      <c r="G978" s="207"/>
      <c r="H978" s="207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207"/>
      <c r="V978" s="207"/>
      <c r="W978" s="207"/>
      <c r="X978" s="207"/>
      <c r="Y978" s="207"/>
      <c r="Z978" s="207"/>
      <c r="AA978" s="207"/>
    </row>
    <row r="979" ht="15.75" customHeight="1">
      <c r="A979" s="207"/>
      <c r="B979" s="207"/>
      <c r="C979" s="209"/>
      <c r="D979" s="209"/>
      <c r="E979" s="207"/>
      <c r="F979" s="207"/>
      <c r="G979" s="207"/>
      <c r="H979" s="207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207"/>
      <c r="V979" s="207"/>
      <c r="W979" s="207"/>
      <c r="X979" s="207"/>
      <c r="Y979" s="207"/>
      <c r="Z979" s="207"/>
      <c r="AA979" s="207"/>
    </row>
    <row r="980" ht="15.75" customHeight="1">
      <c r="A980" s="207"/>
      <c r="B980" s="207"/>
      <c r="C980" s="209"/>
      <c r="D980" s="209"/>
      <c r="E980" s="207"/>
      <c r="F980" s="207"/>
      <c r="G980" s="207"/>
      <c r="H980" s="207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207"/>
      <c r="V980" s="207"/>
      <c r="W980" s="207"/>
      <c r="X980" s="207"/>
      <c r="Y980" s="207"/>
      <c r="Z980" s="207"/>
      <c r="AA980" s="207"/>
    </row>
    <row r="981" ht="15.75" customHeight="1">
      <c r="A981" s="207"/>
      <c r="B981" s="207"/>
      <c r="C981" s="209"/>
      <c r="D981" s="209"/>
      <c r="E981" s="207"/>
      <c r="F981" s="207"/>
      <c r="G981" s="207"/>
      <c r="H981" s="207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207"/>
      <c r="V981" s="207"/>
      <c r="W981" s="207"/>
      <c r="X981" s="207"/>
      <c r="Y981" s="207"/>
      <c r="Z981" s="207"/>
      <c r="AA981" s="207"/>
    </row>
    <row r="982" ht="15.75" customHeight="1">
      <c r="A982" s="207"/>
      <c r="B982" s="207"/>
      <c r="C982" s="209"/>
      <c r="D982" s="209"/>
      <c r="E982" s="207"/>
      <c r="F982" s="207"/>
      <c r="G982" s="207"/>
      <c r="H982" s="207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207"/>
      <c r="V982" s="207"/>
      <c r="W982" s="207"/>
      <c r="X982" s="207"/>
      <c r="Y982" s="207"/>
      <c r="Z982" s="207"/>
      <c r="AA982" s="207"/>
    </row>
    <row r="983" ht="15.75" customHeight="1">
      <c r="A983" s="207"/>
      <c r="B983" s="207"/>
      <c r="C983" s="209"/>
      <c r="D983" s="209"/>
      <c r="E983" s="207"/>
      <c r="F983" s="207"/>
      <c r="G983" s="207"/>
      <c r="H983" s="207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207"/>
      <c r="V983" s="207"/>
      <c r="W983" s="207"/>
      <c r="X983" s="207"/>
      <c r="Y983" s="207"/>
      <c r="Z983" s="207"/>
      <c r="AA983" s="207"/>
    </row>
    <row r="984" ht="15.75" customHeight="1">
      <c r="A984" s="207"/>
      <c r="B984" s="207"/>
      <c r="C984" s="209"/>
      <c r="D984" s="209"/>
      <c r="E984" s="207"/>
      <c r="F984" s="207"/>
      <c r="G984" s="207"/>
      <c r="H984" s="207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207"/>
      <c r="V984" s="207"/>
      <c r="W984" s="207"/>
      <c r="X984" s="207"/>
      <c r="Y984" s="207"/>
      <c r="Z984" s="207"/>
      <c r="AA984" s="207"/>
    </row>
    <row r="985" ht="15.75" customHeight="1">
      <c r="A985" s="207"/>
      <c r="B985" s="207"/>
      <c r="C985" s="209"/>
      <c r="D985" s="209"/>
      <c r="E985" s="207"/>
      <c r="F985" s="207"/>
      <c r="G985" s="207"/>
      <c r="H985" s="207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207"/>
      <c r="V985" s="207"/>
      <c r="W985" s="207"/>
      <c r="X985" s="207"/>
      <c r="Y985" s="207"/>
      <c r="Z985" s="207"/>
      <c r="AA985" s="207"/>
    </row>
    <row r="986" ht="15.75" customHeight="1">
      <c r="A986" s="207"/>
      <c r="B986" s="207"/>
      <c r="C986" s="209"/>
      <c r="D986" s="209"/>
      <c r="E986" s="207"/>
      <c r="F986" s="207"/>
      <c r="G986" s="207"/>
      <c r="H986" s="207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207"/>
      <c r="V986" s="207"/>
      <c r="W986" s="207"/>
      <c r="X986" s="207"/>
      <c r="Y986" s="207"/>
      <c r="Z986" s="207"/>
      <c r="AA986" s="207"/>
    </row>
    <row r="987" ht="15.75" customHeight="1">
      <c r="A987" s="207"/>
      <c r="B987" s="207"/>
      <c r="C987" s="209"/>
      <c r="D987" s="209"/>
      <c r="E987" s="207"/>
      <c r="F987" s="207"/>
      <c r="G987" s="207"/>
      <c r="H987" s="207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207"/>
      <c r="V987" s="207"/>
      <c r="W987" s="207"/>
      <c r="X987" s="207"/>
      <c r="Y987" s="207"/>
      <c r="Z987" s="207"/>
      <c r="AA987" s="207"/>
    </row>
    <row r="988" ht="15.75" customHeight="1">
      <c r="A988" s="207"/>
      <c r="B988" s="207"/>
      <c r="C988" s="209"/>
      <c r="D988" s="209"/>
      <c r="E988" s="207"/>
      <c r="F988" s="207"/>
      <c r="G988" s="207"/>
      <c r="H988" s="207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207"/>
      <c r="V988" s="207"/>
      <c r="W988" s="207"/>
      <c r="X988" s="207"/>
      <c r="Y988" s="207"/>
      <c r="Z988" s="207"/>
      <c r="AA988" s="207"/>
    </row>
    <row r="989" ht="15.75" customHeight="1">
      <c r="A989" s="207"/>
      <c r="B989" s="207"/>
      <c r="C989" s="209"/>
      <c r="D989" s="209"/>
      <c r="E989" s="207"/>
      <c r="F989" s="207"/>
      <c r="G989" s="207"/>
      <c r="H989" s="207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207"/>
      <c r="V989" s="207"/>
      <c r="W989" s="207"/>
      <c r="X989" s="207"/>
      <c r="Y989" s="207"/>
      <c r="Z989" s="207"/>
      <c r="AA989" s="207"/>
    </row>
    <row r="990" ht="15.75" customHeight="1">
      <c r="A990" s="207"/>
      <c r="B990" s="207"/>
      <c r="C990" s="209"/>
      <c r="D990" s="209"/>
      <c r="E990" s="207"/>
      <c r="F990" s="207"/>
      <c r="G990" s="207"/>
      <c r="H990" s="207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207"/>
      <c r="V990" s="207"/>
      <c r="W990" s="207"/>
      <c r="X990" s="207"/>
      <c r="Y990" s="207"/>
      <c r="Z990" s="207"/>
      <c r="AA990" s="207"/>
    </row>
    <row r="991" ht="15.75" customHeight="1">
      <c r="A991" s="207"/>
      <c r="B991" s="207"/>
      <c r="C991" s="209"/>
      <c r="D991" s="209"/>
      <c r="E991" s="207"/>
      <c r="F991" s="207"/>
      <c r="G991" s="207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207"/>
      <c r="V991" s="207"/>
      <c r="W991" s="207"/>
      <c r="X991" s="207"/>
      <c r="Y991" s="207"/>
      <c r="Z991" s="207"/>
      <c r="AA991" s="207"/>
    </row>
    <row r="992" ht="15.75" customHeight="1">
      <c r="A992" s="207"/>
      <c r="B992" s="207"/>
      <c r="C992" s="209"/>
      <c r="D992" s="209"/>
      <c r="E992" s="207"/>
      <c r="F992" s="207"/>
      <c r="G992" s="207"/>
      <c r="H992" s="207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207"/>
      <c r="V992" s="207"/>
      <c r="W992" s="207"/>
      <c r="X992" s="207"/>
      <c r="Y992" s="207"/>
      <c r="Z992" s="207"/>
      <c r="AA992" s="207"/>
    </row>
    <row r="993" ht="15.75" customHeight="1">
      <c r="A993" s="207"/>
      <c r="B993" s="207"/>
      <c r="C993" s="209"/>
      <c r="D993" s="209"/>
      <c r="E993" s="207"/>
      <c r="F993" s="207"/>
      <c r="G993" s="207"/>
      <c r="H993" s="207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207"/>
      <c r="V993" s="207"/>
      <c r="W993" s="207"/>
      <c r="X993" s="207"/>
      <c r="Y993" s="207"/>
      <c r="Z993" s="207"/>
      <c r="AA993" s="207"/>
    </row>
    <row r="994" ht="15.75" customHeight="1">
      <c r="A994" s="207"/>
      <c r="B994" s="207"/>
      <c r="C994" s="209"/>
      <c r="D994" s="209"/>
      <c r="E994" s="207"/>
      <c r="F994" s="207"/>
      <c r="G994" s="207"/>
      <c r="H994" s="207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207"/>
      <c r="V994" s="207"/>
      <c r="W994" s="207"/>
      <c r="X994" s="207"/>
      <c r="Y994" s="207"/>
      <c r="Z994" s="207"/>
      <c r="AA994" s="207"/>
    </row>
    <row r="995" ht="15.75" customHeight="1">
      <c r="A995" s="207"/>
      <c r="B995" s="207"/>
      <c r="C995" s="209"/>
      <c r="D995" s="209"/>
      <c r="E995" s="207"/>
      <c r="F995" s="207"/>
      <c r="G995" s="207"/>
      <c r="H995" s="207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207"/>
      <c r="V995" s="207"/>
      <c r="W995" s="207"/>
      <c r="X995" s="207"/>
      <c r="Y995" s="207"/>
      <c r="Z995" s="207"/>
      <c r="AA995" s="207"/>
    </row>
    <row r="996" ht="15.75" customHeight="1">
      <c r="A996" s="207"/>
      <c r="B996" s="207"/>
      <c r="C996" s="209"/>
      <c r="D996" s="209"/>
      <c r="E996" s="207"/>
      <c r="F996" s="207"/>
      <c r="G996" s="207"/>
      <c r="H996" s="207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207"/>
      <c r="V996" s="207"/>
      <c r="W996" s="207"/>
      <c r="X996" s="207"/>
      <c r="Y996" s="207"/>
      <c r="Z996" s="207"/>
      <c r="AA996" s="207"/>
    </row>
    <row r="997" ht="15.75" customHeight="1">
      <c r="A997" s="207"/>
      <c r="B997" s="207"/>
      <c r="C997" s="209"/>
      <c r="D997" s="209"/>
      <c r="E997" s="207"/>
      <c r="F997" s="207"/>
      <c r="G997" s="207"/>
      <c r="H997" s="207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207"/>
      <c r="V997" s="207"/>
      <c r="W997" s="207"/>
      <c r="X997" s="207"/>
      <c r="Y997" s="207"/>
      <c r="Z997" s="207"/>
      <c r="AA997" s="207"/>
    </row>
    <row r="998" ht="15.75" customHeight="1">
      <c r="A998" s="207"/>
      <c r="B998" s="207"/>
      <c r="C998" s="209"/>
      <c r="D998" s="209"/>
      <c r="E998" s="207"/>
      <c r="F998" s="207"/>
      <c r="G998" s="207"/>
      <c r="H998" s="207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207"/>
      <c r="V998" s="207"/>
      <c r="W998" s="207"/>
      <c r="X998" s="207"/>
      <c r="Y998" s="207"/>
      <c r="Z998" s="207"/>
      <c r="AA998" s="207"/>
    </row>
    <row r="999" ht="15.75" customHeight="1">
      <c r="A999" s="207"/>
      <c r="B999" s="207"/>
      <c r="C999" s="209"/>
      <c r="D999" s="209"/>
      <c r="E999" s="207"/>
      <c r="F999" s="207"/>
      <c r="G999" s="207"/>
      <c r="H999" s="207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207"/>
      <c r="V999" s="207"/>
      <c r="W999" s="207"/>
      <c r="X999" s="207"/>
      <c r="Y999" s="207"/>
      <c r="Z999" s="207"/>
      <c r="AA999" s="207"/>
    </row>
    <row r="1000" ht="15.75" customHeight="1">
      <c r="A1000" s="207"/>
      <c r="B1000" s="207"/>
      <c r="C1000" s="209"/>
      <c r="D1000" s="209"/>
      <c r="E1000" s="207"/>
      <c r="F1000" s="207"/>
      <c r="G1000" s="207"/>
      <c r="H1000" s="207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207"/>
      <c r="V1000" s="207"/>
      <c r="W1000" s="207"/>
      <c r="X1000" s="207"/>
      <c r="Y1000" s="207"/>
      <c r="Z1000" s="207"/>
      <c r="AA1000" s="207"/>
    </row>
  </sheetData>
  <mergeCells count="4">
    <mergeCell ref="A3:B3"/>
    <mergeCell ref="A4:A7"/>
    <mergeCell ref="A11:A16"/>
    <mergeCell ref="A17:A20"/>
  </mergeCells>
  <printOptions/>
  <pageMargins bottom="0.75" footer="0.0" header="0.0" left="0.7" right="0.7" top="0.75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6.78"/>
    <col customWidth="1" min="4" max="4" width="22.11"/>
    <col customWidth="1" min="5" max="5" width="15.78"/>
    <col customWidth="1" min="6" max="6" width="31.78"/>
    <col customWidth="1" min="7" max="7" width="33.56"/>
    <col customWidth="1" min="8" max="26" width="6.78"/>
  </cols>
  <sheetData>
    <row r="1" ht="15.75" customHeight="1"/>
    <row r="2" ht="15.75" customHeight="1"/>
    <row r="3" ht="15.75" customHeight="1">
      <c r="B3" s="263" t="s">
        <v>290</v>
      </c>
      <c r="C3" s="264"/>
      <c r="D3" s="264"/>
      <c r="E3" s="265"/>
      <c r="F3" s="264"/>
    </row>
    <row r="4" ht="15.75" customHeight="1">
      <c r="B4" s="264"/>
      <c r="C4" s="264" t="s">
        <v>291</v>
      </c>
      <c r="D4" s="264"/>
      <c r="E4" s="265"/>
      <c r="F4" s="264"/>
    </row>
    <row r="5" ht="15.75" customHeight="1">
      <c r="B5" s="264"/>
      <c r="C5" s="264"/>
      <c r="D5" s="264"/>
      <c r="E5" s="265"/>
      <c r="F5" s="266" t="s">
        <v>292</v>
      </c>
      <c r="G5" s="266" t="s">
        <v>292</v>
      </c>
    </row>
    <row r="6" ht="15.75" customHeight="1">
      <c r="B6" s="264"/>
      <c r="C6" s="264"/>
      <c r="D6" s="264"/>
      <c r="E6" s="265"/>
      <c r="F6" s="266" t="s">
        <v>293</v>
      </c>
      <c r="G6" s="266" t="s">
        <v>294</v>
      </c>
    </row>
    <row r="7" ht="15.75" customHeight="1">
      <c r="B7" s="267" t="s">
        <v>295</v>
      </c>
      <c r="C7" s="268"/>
      <c r="D7" s="268"/>
      <c r="E7" s="269"/>
      <c r="F7" s="270" t="s">
        <v>296</v>
      </c>
      <c r="G7" s="270" t="s">
        <v>296</v>
      </c>
    </row>
    <row r="8" ht="15.75" customHeight="1">
      <c r="B8" s="271"/>
      <c r="C8" s="272" t="s">
        <v>297</v>
      </c>
      <c r="D8" s="273"/>
      <c r="E8" s="274"/>
      <c r="F8" s="275" t="s">
        <v>298</v>
      </c>
      <c r="G8" s="275" t="s">
        <v>299</v>
      </c>
    </row>
    <row r="9" ht="15.75" customHeight="1">
      <c r="B9" s="271"/>
      <c r="C9" s="276" t="s">
        <v>300</v>
      </c>
      <c r="D9" s="277"/>
      <c r="E9" s="278"/>
      <c r="F9" s="266" t="s">
        <v>301</v>
      </c>
      <c r="G9" s="266" t="s">
        <v>302</v>
      </c>
    </row>
    <row r="10" ht="15.75" customHeight="1">
      <c r="B10" s="271"/>
      <c r="C10" s="276" t="s">
        <v>303</v>
      </c>
      <c r="D10" s="277"/>
      <c r="E10" s="278"/>
      <c r="F10" s="266">
        <f t="shared" ref="F10:G10" si="1">F12+F11</f>
        <v>2179148.8</v>
      </c>
      <c r="G10" s="266">
        <f t="shared" si="1"/>
        <v>2281148.8</v>
      </c>
    </row>
    <row r="11" ht="15.75" customHeight="1">
      <c r="B11" s="271"/>
      <c r="C11" s="267" t="s">
        <v>304</v>
      </c>
      <c r="D11" s="277"/>
      <c r="E11" s="278"/>
      <c r="F11" s="266">
        <v>20000.0</v>
      </c>
      <c r="G11" s="266">
        <v>20000.0</v>
      </c>
    </row>
    <row r="12" ht="15.75" customHeight="1">
      <c r="B12" s="271"/>
      <c r="C12" s="267" t="s">
        <v>305</v>
      </c>
      <c r="D12" s="277"/>
      <c r="E12" s="279"/>
      <c r="F12" s="266">
        <f t="shared" ref="F12:G12" si="2">SUM(F13:F16)</f>
        <v>2159148.8</v>
      </c>
      <c r="G12" s="266">
        <f t="shared" si="2"/>
        <v>2261148.8</v>
      </c>
    </row>
    <row r="13" ht="15.75" customHeight="1">
      <c r="B13" s="271"/>
      <c r="C13" s="280"/>
      <c r="D13" s="281" t="s">
        <v>306</v>
      </c>
      <c r="E13" s="282">
        <v>0.1</v>
      </c>
      <c r="F13" s="266">
        <f t="shared" ref="F13:G13" si="3">$F$34*E13</f>
        <v>0</v>
      </c>
      <c r="G13" s="266">
        <f t="shared" si="3"/>
        <v>0</v>
      </c>
    </row>
    <row r="14" ht="15.75" customHeight="1">
      <c r="B14" s="271"/>
      <c r="C14" s="280"/>
      <c r="D14" s="281" t="s">
        <v>307</v>
      </c>
      <c r="E14" s="282">
        <v>0.05</v>
      </c>
      <c r="F14" s="266">
        <f t="shared" ref="F14:G14" si="4">$F$34*E14</f>
        <v>0</v>
      </c>
      <c r="G14" s="266">
        <f t="shared" si="4"/>
        <v>0</v>
      </c>
    </row>
    <row r="15" ht="15.75" customHeight="1">
      <c r="B15" s="271"/>
      <c r="C15" s="280"/>
      <c r="D15" s="283" t="s">
        <v>308</v>
      </c>
      <c r="E15" s="284">
        <v>0.13</v>
      </c>
      <c r="F15" s="266">
        <f t="shared" ref="F15:G15" si="5">$F$34*E15</f>
        <v>0</v>
      </c>
      <c r="G15" s="266">
        <f t="shared" si="5"/>
        <v>0</v>
      </c>
    </row>
    <row r="16" ht="15.75" customHeight="1">
      <c r="B16" s="271"/>
      <c r="C16" s="285" t="s">
        <v>309</v>
      </c>
      <c r="D16" s="2"/>
      <c r="E16" s="3"/>
      <c r="F16" s="266">
        <f t="shared" ref="F16:G16" si="6">SUM(F17:F25)</f>
        <v>2159148.8</v>
      </c>
      <c r="G16" s="266">
        <f t="shared" si="6"/>
        <v>2261148.8</v>
      </c>
    </row>
    <row r="17" ht="15.75" customHeight="1">
      <c r="B17" s="271"/>
      <c r="C17" s="286"/>
      <c r="D17" s="281" t="s">
        <v>310</v>
      </c>
      <c r="E17" s="266" t="s">
        <v>311</v>
      </c>
      <c r="F17" s="266">
        <v>5000.0</v>
      </c>
      <c r="G17" s="266">
        <v>5000.0</v>
      </c>
    </row>
    <row r="18" ht="15.75" customHeight="1">
      <c r="B18" s="271"/>
      <c r="C18" s="287"/>
      <c r="D18" s="281" t="s">
        <v>312</v>
      </c>
      <c r="E18" s="266">
        <f>E22*0.3</f>
        <v>0</v>
      </c>
      <c r="F18" s="266">
        <f>F22*30%</f>
        <v>78987</v>
      </c>
      <c r="G18" s="266">
        <f>F22*30%</f>
        <v>78987</v>
      </c>
    </row>
    <row r="19" ht="15.75" customHeight="1">
      <c r="B19" s="271"/>
      <c r="C19" s="287"/>
      <c r="D19" s="281" t="s">
        <v>313</v>
      </c>
      <c r="E19" s="266">
        <v>724.0</v>
      </c>
      <c r="F19" s="266">
        <f>E19*10*8</f>
        <v>57920</v>
      </c>
      <c r="G19" s="266">
        <f>E19*10*8</f>
        <v>57920</v>
      </c>
    </row>
    <row r="20" ht="15.75" customHeight="1">
      <c r="B20" s="271"/>
      <c r="C20" s="287"/>
      <c r="D20" s="281" t="s">
        <v>314</v>
      </c>
      <c r="E20" s="266">
        <v>0.0</v>
      </c>
      <c r="F20" s="266">
        <v>0.0</v>
      </c>
      <c r="G20" s="266">
        <v>0.0</v>
      </c>
    </row>
    <row r="21" ht="15.75" customHeight="1">
      <c r="B21" s="271"/>
      <c r="C21" s="287"/>
      <c r="D21" s="288" t="s">
        <v>315</v>
      </c>
      <c r="E21" s="289">
        <v>600.0</v>
      </c>
      <c r="F21" s="289">
        <f>E21*10*8</f>
        <v>48000</v>
      </c>
      <c r="G21" s="289">
        <f>E21*10*8</f>
        <v>48000</v>
      </c>
    </row>
    <row r="22" ht="15.75" customHeight="1">
      <c r="B22" s="271"/>
      <c r="C22" s="287"/>
      <c r="D22" s="281" t="s">
        <v>316</v>
      </c>
      <c r="E22" s="266"/>
      <c r="F22" s="266">
        <f>SUM('A表-附件-預算'!E5:E8)</f>
        <v>263290</v>
      </c>
      <c r="G22" s="266">
        <f>SUM('A表-附件-預算'!E5:E8)</f>
        <v>263290</v>
      </c>
    </row>
    <row r="23" ht="15.75" customHeight="1">
      <c r="B23" s="271"/>
      <c r="C23" s="287"/>
      <c r="D23" s="281" t="s">
        <v>317</v>
      </c>
      <c r="E23" s="266"/>
      <c r="F23" s="266">
        <f>'A表-附件-預算'!F2/400</f>
        <v>7951.8</v>
      </c>
      <c r="G23" s="266">
        <f>'A表-附件-預算'!F2/400</f>
        <v>7951.8</v>
      </c>
    </row>
    <row r="24" ht="15.75" customHeight="1">
      <c r="B24" s="271"/>
      <c r="C24" s="287"/>
      <c r="D24" s="281" t="s">
        <v>318</v>
      </c>
      <c r="E24" s="266" t="s">
        <v>319</v>
      </c>
      <c r="F24" s="266">
        <v>0.0</v>
      </c>
      <c r="G24" s="266">
        <v>0.0</v>
      </c>
    </row>
    <row r="25" ht="15.75" customHeight="1">
      <c r="B25" s="290"/>
      <c r="C25" s="68"/>
      <c r="D25" s="281" t="s">
        <v>320</v>
      </c>
      <c r="E25" s="266"/>
      <c r="F25" s="266">
        <v>1698000.0</v>
      </c>
      <c r="G25" s="266">
        <v>1800000.0</v>
      </c>
    </row>
    <row r="26" ht="15.75" customHeight="1">
      <c r="G26" s="291" t="s">
        <v>321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6:E16"/>
    <mergeCell ref="C17:C25"/>
  </mergeCells>
  <printOptions/>
  <pageMargins bottom="0.75" footer="0.0" header="0.0" left="0.7" right="0.7" top="0.75"/>
  <pageSetup orientation="landscape"/>
  <drawing r:id="rId1"/>
</worksheet>
</file>