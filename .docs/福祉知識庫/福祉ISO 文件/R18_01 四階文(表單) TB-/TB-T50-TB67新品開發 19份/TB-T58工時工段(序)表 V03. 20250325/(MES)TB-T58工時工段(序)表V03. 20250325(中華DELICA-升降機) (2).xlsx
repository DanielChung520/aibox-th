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單輪椅區" sheetId="2" r:id="rId6"/>
  </sheets>
  <definedNames/>
  <calcPr/>
</workbook>
</file>

<file path=xl/sharedStrings.xml><?xml version="1.0" encoding="utf-8"?>
<sst xmlns="http://schemas.openxmlformats.org/spreadsheetml/2006/main" count="257" uniqueCount="126">
  <si>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</si>
  <si>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</si>
  <si>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</si>
  <si>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</si>
  <si>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</si>
  <si>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</si>
  <si>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</si>
  <si>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</si>
  <si>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</si>
  <si>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</si>
  <si>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</si>
  <si>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</si>
  <si>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</si>
  <si>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</si>
  <si>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</si>
  <si>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</si>
  <si>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</si>
  <si>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</si>
  <si>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</si>
  <si>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</si>
  <si>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</si>
  <si>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</si>
  <si>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</si>
  <si>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</si>
  <si>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</si>
  <si>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</si>
  <si>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</si>
  <si>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</si>
  <si>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</si>
  <si>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</si>
  <si>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</si>
  <si>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</si>
  <si>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</si>
  <si>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</si>
  <si>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</si>
  <si>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</si>
  <si>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</si>
  <si>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</si>
  <si>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</si>
  <si>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</si>
  <si>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</si>
  <si>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</si>
  <si>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</si>
  <si>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</si>
  <si>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</si>
  <si>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</si>
  <si>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</si>
  <si>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</si>
  <si>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</si>
  <si>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</si>
  <si>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</si>
  <si>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</si>
  <si>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</si>
  <si>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</si>
  <si>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</si>
  <si>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</si>
  <si>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</si>
  <si>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</si>
  <si>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WP-T02 載運輪椅車輛製程作業規範(CMC DELICA WAV 輪椅升降台 單輪椅區) V01-工時工段(序)表</t>
  </si>
  <si>
    <t>WP-T02</t>
  </si>
  <si>
    <t>V01</t>
  </si>
  <si>
    <t>FM10W2591-670法規-復康巴士-自排得利卡配置G2(詳附件)</t>
  </si>
  <si>
    <t>載運輪椅車輛製程作業規範
(CMC DELICA WAV 輪椅升降台)</t>
  </si>
  <si>
    <t>910000481-得利卡改高套件
910000801-中華DELICA第三點套件
FM10V0011-DELICA側踏組立
MM10ZX031-DELCIA-側踏電線組立
MM10ZX011-DELCIA-LED燈電線組立
MM10ZX021-DELCIA-蜂鳴器電線組立
MM10ZX041-DELCIA-手煞車電線組立
MM10ZX051-DELICA-升降機(改高)五金套件組(含線組)/貼紙包</t>
  </si>
  <si>
    <t>車輛尾門改高作業</t>
  </si>
  <si>
    <t>車門內裝拆除</t>
  </si>
  <si>
    <t>分鐘</t>
  </si>
  <si>
    <t>保護隔絕及畫線</t>
  </si>
  <si>
    <t>車門焊接</t>
  </si>
  <si>
    <t>小時</t>
  </si>
  <si>
    <t>切割車體</t>
  </si>
  <si>
    <t>天</t>
  </si>
  <si>
    <t>焊接補強物件</t>
  </si>
  <si>
    <t>復原車門及內裝</t>
  </si>
  <si>
    <t>送外部烤漆</t>
  </si>
  <si>
    <t>復原內裝線路</t>
  </si>
  <si>
    <t>安裝防水膠條</t>
  </si>
  <si>
    <t>焊接備料零件組</t>
  </si>
  <si>
    <t>車輛拆除作業</t>
  </si>
  <si>
    <t>拆除車內座椅</t>
  </si>
  <si>
    <t>拆除車內安全帶</t>
  </si>
  <si>
    <t>拆除車內地墊</t>
  </si>
  <si>
    <t>車內線路安裝作業</t>
  </si>
  <si>
    <t>安裝蜂鳴器</t>
  </si>
  <si>
    <t>安裝車尾警示燈LED</t>
  </si>
  <si>
    <t>安裝手剎車線路</t>
  </si>
  <si>
    <t>安裝升降機正電線及斷路器</t>
  </si>
  <si>
    <t>安裝電動側踏板</t>
  </si>
  <si>
    <t>車內配件安裝作業</t>
  </si>
  <si>
    <t>安裝尾門把手</t>
  </si>
  <si>
    <t>安裝肩部安全帶</t>
  </si>
  <si>
    <t>安裝鋪設發泡板</t>
  </si>
  <si>
    <t>黏貼地墊</t>
  </si>
  <si>
    <t>安裝輪椅束縛器</t>
  </si>
  <si>
    <t>升降機底座孔位鑽孔及鎖固</t>
  </si>
  <si>
    <t>升降機電路</t>
  </si>
  <si>
    <t>升降機配件</t>
  </si>
  <si>
    <t>滅火器</t>
  </si>
  <si>
    <t>車窗擊破器</t>
  </si>
  <si>
    <t>底盤地板復原作業</t>
  </si>
  <si>
    <t>復原車內座椅</t>
  </si>
  <si>
    <t>復原車內安全帶</t>
  </si>
  <si>
    <t>最後調整檢查作業</t>
  </si>
  <si>
    <t>升降機調整</t>
  </si>
  <si>
    <t>升降機潤滑</t>
  </si>
  <si>
    <t>黏貼操作說明及標示</t>
  </si>
  <si>
    <t>自主檢查單初檢</t>
  </si>
  <si>
    <t>自主檢查複檢及修正</t>
  </si>
  <si>
    <t>線外加工組裝作業</t>
  </si>
  <si>
    <t>LED燈電線組立</t>
  </si>
  <si>
    <t>MM10ZX011</t>
  </si>
  <si>
    <t>蜂鳴器電線組立</t>
  </si>
  <si>
    <t>MM10ZX021</t>
  </si>
  <si>
    <t>手煞車電線組立</t>
  </si>
  <si>
    <t>MM10ZX041</t>
  </si>
  <si>
    <t>側踏組立</t>
  </si>
  <si>
    <t>FM10V0011</t>
  </si>
  <si>
    <t>側踏電線組立</t>
  </si>
  <si>
    <t>MM10ZX031</t>
  </si>
  <si>
    <t>升降機線路修改</t>
  </si>
  <si>
    <t>升降機整備及貼紙</t>
  </si>
  <si>
    <t>全車螺絲包</t>
  </si>
  <si>
    <t>MM10ZX051</t>
  </si>
  <si>
    <t>江冠毅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</si>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</sst>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_);\(0.0\)"/>
    <numFmt numFmtId="165" formatCode="0.00_ "/>
    <numFmt numFmtId="166" formatCode="0.00_);[Red]\(0.00\)"/>
    <numFmt numFmtId="167" formatCode="yyyy/m/d"/>
    <numFmt numFmtId="168" formatCode="0_);[Red]\(0\)"/>
  </numFmts>
  <fonts count="21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b/>
      <sz val="16.0"/>
      <color theme="1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left" shrinkToFit="0" vertical="center" wrapText="1"/>
    </xf>
    <xf borderId="0" fillId="0" fontId="20" numFmtId="166" xfId="0" applyAlignment="1" applyFont="1" applyNumberFormat="1">
      <alignment horizontal="left" vertical="center"/>
    </xf>
    <xf borderId="0" fillId="0" fontId="20" numFmtId="0" xfId="0" applyAlignment="1" applyFont="1">
      <alignment horizontal="left" vertical="center"/>
    </xf>
    <xf borderId="0" fillId="0" fontId="6" numFmtId="166" xfId="0" applyAlignment="1" applyFont="1" applyNumberFormat="1">
      <alignment horizontal="left" vertical="center"/>
    </xf>
    <xf borderId="0" fillId="0" fontId="6" numFmtId="0" xfId="0" applyAlignment="1" applyFon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vertical="center"/>
    </xf>
    <xf borderId="4" fillId="0" fontId="10" numFmtId="168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0" fontId="13" numFmtId="166" xfId="0" applyAlignment="1" applyFont="1" applyNumberFormat="1">
      <alignment horizontal="left" vertical="center"/>
    </xf>
    <xf borderId="1" fillId="0" fontId="12" numFmtId="0" xfId="0" applyAlignment="1" applyBorder="1" applyFont="1">
      <alignment horizontal="left" shrinkToFit="0" vertical="center" wrapText="1"/>
    </xf>
    <xf borderId="2" fillId="0" fontId="12" numFmtId="0" xfId="0" applyAlignment="1" applyBorder="1" applyFont="1">
      <alignment horizontal="left" vertical="center"/>
    </xf>
    <xf borderId="12" fillId="0" fontId="12" numFmtId="0" xfId="0" applyAlignment="1" applyBorder="1" applyFont="1">
      <alignment horizontal="left" vertical="center"/>
    </xf>
    <xf borderId="9" fillId="0" fontId="10" numFmtId="168" xfId="0" applyAlignment="1" applyBorder="1" applyFont="1" applyNumberFormat="1">
      <alignment horizontal="center" vertical="center"/>
    </xf>
    <xf borderId="18" fillId="0" fontId="10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9.56"/>
    <col customWidth="1" min="8" max="8" width="9.67"/>
    <col customWidth="1" min="9" max="11" width="7.56"/>
    <col customWidth="1" min="12" max="12" width="4.89"/>
    <col customWidth="1" min="13" max="13" width="9.33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4" width="8.0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57</v>
      </c>
      <c r="M1" s="2"/>
      <c r="N1" s="97"/>
      <c r="O1" s="2"/>
      <c r="P1" s="2"/>
    </row>
    <row r="2" ht="15.7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ROUNDUP(H51,0)</f>
        <v>5</v>
      </c>
      <c r="K2" s="10" t="s">
        <v>4</v>
      </c>
      <c r="L2" s="11">
        <f>ROUNDUP(H52,0)</f>
        <v>1</v>
      </c>
      <c r="M2" s="12" t="s">
        <v>5</v>
      </c>
      <c r="N2" s="98"/>
      <c r="O2" s="99"/>
      <c r="P2" s="13"/>
    </row>
    <row r="3" ht="31.5" customHeight="1">
      <c r="B3" s="14" t="s">
        <v>58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  <c r="N3" s="100"/>
      <c r="O3" s="101"/>
    </row>
    <row r="4" ht="31.5" customHeight="1">
      <c r="B4" s="17" t="s">
        <v>7</v>
      </c>
      <c r="C4" s="18" t="s">
        <v>59</v>
      </c>
      <c r="D4" s="19" t="s">
        <v>8</v>
      </c>
      <c r="E4" s="18" t="s">
        <v>60</v>
      </c>
      <c r="F4" s="20" t="s">
        <v>9</v>
      </c>
      <c r="G4" s="21" t="s">
        <v>61</v>
      </c>
      <c r="H4" s="22"/>
      <c r="I4" s="22"/>
      <c r="J4" s="22"/>
      <c r="K4" s="22"/>
      <c r="L4" s="23"/>
      <c r="M4" s="102" t="s">
        <v>10</v>
      </c>
      <c r="N4" s="100"/>
      <c r="O4" s="101"/>
    </row>
    <row r="5" ht="92.25" customHeight="1">
      <c r="B5" s="25" t="s">
        <v>11</v>
      </c>
      <c r="C5" s="26" t="s">
        <v>62</v>
      </c>
      <c r="D5" s="15"/>
      <c r="E5" s="9"/>
      <c r="F5" s="16" t="s">
        <v>12</v>
      </c>
      <c r="G5" s="27" t="s">
        <v>63</v>
      </c>
      <c r="H5" s="15"/>
      <c r="I5" s="15"/>
      <c r="J5" s="15"/>
      <c r="K5" s="15"/>
      <c r="L5" s="9"/>
      <c r="M5" s="28"/>
      <c r="N5" s="100"/>
      <c r="O5" s="101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  <c r="N6" s="100"/>
      <c r="O6" s="101"/>
    </row>
    <row r="7" ht="16.5" customHeight="1">
      <c r="B7" s="33" t="s">
        <v>64</v>
      </c>
      <c r="C7" s="103" t="s">
        <v>65</v>
      </c>
      <c r="D7" s="9"/>
      <c r="E7" s="104">
        <v>50.0</v>
      </c>
      <c r="F7" s="104">
        <f t="shared" ref="F7:F49" si="1">E7*0.125</f>
        <v>6.25</v>
      </c>
      <c r="G7" s="35">
        <v>1.0</v>
      </c>
      <c r="H7" s="36">
        <f>IF(G7=2,G7*E7*0.8,E7)+F7</f>
        <v>56.25</v>
      </c>
      <c r="I7" s="37">
        <f>H7/$H$50</f>
        <v>0.02252184619</v>
      </c>
      <c r="J7" s="38">
        <f>SUM(H7:H16)</f>
        <v>624.375</v>
      </c>
      <c r="K7" s="39">
        <f>J7/$J$50</f>
        <v>0.2499924927</v>
      </c>
      <c r="L7" s="35" t="s">
        <v>23</v>
      </c>
      <c r="M7" s="105"/>
      <c r="N7" s="106">
        <f>SUM(E7:E16)</f>
        <v>570</v>
      </c>
      <c r="O7" s="101" t="s">
        <v>66</v>
      </c>
    </row>
    <row r="8" ht="16.5" customHeight="1">
      <c r="B8" s="28"/>
      <c r="C8" s="103" t="s">
        <v>67</v>
      </c>
      <c r="D8" s="9"/>
      <c r="E8" s="104">
        <v>15.0</v>
      </c>
      <c r="F8" s="104">
        <f t="shared" si="1"/>
        <v>1.875</v>
      </c>
      <c r="G8" s="35">
        <v>2.0</v>
      </c>
      <c r="H8" s="36"/>
      <c r="I8" s="37"/>
      <c r="J8" s="28"/>
      <c r="K8" s="28"/>
      <c r="L8" s="35"/>
      <c r="M8" s="105"/>
      <c r="N8" s="106"/>
      <c r="O8" s="101"/>
    </row>
    <row r="9" ht="16.5" customHeight="1">
      <c r="B9" s="28"/>
      <c r="C9" s="103" t="s">
        <v>68</v>
      </c>
      <c r="D9" s="9"/>
      <c r="E9" s="104">
        <v>75.0</v>
      </c>
      <c r="F9" s="104">
        <f t="shared" si="1"/>
        <v>9.375</v>
      </c>
      <c r="G9" s="35">
        <v>1.0</v>
      </c>
      <c r="H9" s="36">
        <f t="shared" ref="H9:H49" si="2">IF(G9=2,G9*E9*0.8,E9)+F9</f>
        <v>84.375</v>
      </c>
      <c r="I9" s="37">
        <f t="shared" ref="I9:I49" si="3">H9/$H$50</f>
        <v>0.03378276929</v>
      </c>
      <c r="J9" s="28"/>
      <c r="K9" s="28"/>
      <c r="L9" s="35" t="s">
        <v>23</v>
      </c>
      <c r="M9" s="105"/>
      <c r="N9" s="100">
        <f>SUM(N7)/60</f>
        <v>9.5</v>
      </c>
      <c r="O9" s="101" t="s">
        <v>69</v>
      </c>
    </row>
    <row r="10" ht="16.5" customHeight="1">
      <c r="B10" s="28"/>
      <c r="C10" s="103" t="s">
        <v>70</v>
      </c>
      <c r="D10" s="9"/>
      <c r="E10" s="104">
        <v>30.0</v>
      </c>
      <c r="F10" s="104">
        <f t="shared" si="1"/>
        <v>3.75</v>
      </c>
      <c r="G10" s="35">
        <v>1.0</v>
      </c>
      <c r="H10" s="36">
        <f t="shared" si="2"/>
        <v>33.75</v>
      </c>
      <c r="I10" s="37">
        <f t="shared" si="3"/>
        <v>0.01351310771</v>
      </c>
      <c r="J10" s="28"/>
      <c r="K10" s="28"/>
      <c r="L10" s="35" t="s">
        <v>23</v>
      </c>
      <c r="M10" s="105"/>
      <c r="N10" s="106">
        <f>SUM(N7)/450</f>
        <v>1.266666667</v>
      </c>
      <c r="O10" s="101" t="s">
        <v>71</v>
      </c>
    </row>
    <row r="11" ht="16.5" customHeight="1">
      <c r="B11" s="28"/>
      <c r="C11" s="103" t="s">
        <v>72</v>
      </c>
      <c r="D11" s="9"/>
      <c r="E11" s="104">
        <v>220.0</v>
      </c>
      <c r="F11" s="104">
        <f t="shared" si="1"/>
        <v>27.5</v>
      </c>
      <c r="G11" s="35">
        <v>1.0</v>
      </c>
      <c r="H11" s="36">
        <f t="shared" si="2"/>
        <v>247.5</v>
      </c>
      <c r="I11" s="37">
        <f t="shared" si="3"/>
        <v>0.09909612324</v>
      </c>
      <c r="J11" s="28"/>
      <c r="K11" s="28"/>
      <c r="L11" s="35" t="s">
        <v>23</v>
      </c>
      <c r="M11" s="105">
        <v>9.10000481E8</v>
      </c>
      <c r="N11" s="106"/>
      <c r="O11" s="101"/>
    </row>
    <row r="12" ht="16.5" customHeight="1">
      <c r="B12" s="28"/>
      <c r="C12" s="103" t="s">
        <v>73</v>
      </c>
      <c r="D12" s="9"/>
      <c r="E12" s="104">
        <v>25.0</v>
      </c>
      <c r="F12" s="104">
        <f t="shared" si="1"/>
        <v>3.125</v>
      </c>
      <c r="G12" s="35">
        <v>1.0</v>
      </c>
      <c r="H12" s="36">
        <f t="shared" si="2"/>
        <v>28.125</v>
      </c>
      <c r="I12" s="37">
        <f t="shared" si="3"/>
        <v>0.0112609231</v>
      </c>
      <c r="J12" s="28"/>
      <c r="K12" s="28"/>
      <c r="L12" s="35" t="s">
        <v>23</v>
      </c>
      <c r="M12" s="105"/>
      <c r="N12" s="106"/>
      <c r="O12" s="101"/>
    </row>
    <row r="13" ht="16.5" customHeight="1">
      <c r="B13" s="28"/>
      <c r="C13" s="103" t="s">
        <v>74</v>
      </c>
      <c r="D13" s="9"/>
      <c r="E13" s="104">
        <v>0.0</v>
      </c>
      <c r="F13" s="104">
        <f t="shared" si="1"/>
        <v>0</v>
      </c>
      <c r="G13" s="35">
        <v>1.0</v>
      </c>
      <c r="H13" s="36">
        <f t="shared" si="2"/>
        <v>0</v>
      </c>
      <c r="I13" s="37">
        <f t="shared" si="3"/>
        <v>0</v>
      </c>
      <c r="J13" s="28"/>
      <c r="K13" s="28"/>
      <c r="L13" s="35" t="s">
        <v>23</v>
      </c>
      <c r="M13" s="105"/>
      <c r="N13" s="106"/>
      <c r="O13" s="101"/>
    </row>
    <row r="14" ht="16.5" customHeight="1">
      <c r="B14" s="28"/>
      <c r="C14" s="103" t="s">
        <v>75</v>
      </c>
      <c r="D14" s="9"/>
      <c r="E14" s="104">
        <v>30.0</v>
      </c>
      <c r="F14" s="104">
        <f t="shared" si="1"/>
        <v>3.75</v>
      </c>
      <c r="G14" s="35">
        <v>1.0</v>
      </c>
      <c r="H14" s="36">
        <f t="shared" si="2"/>
        <v>33.75</v>
      </c>
      <c r="I14" s="37">
        <f t="shared" si="3"/>
        <v>0.01351310771</v>
      </c>
      <c r="J14" s="28"/>
      <c r="K14" s="28"/>
      <c r="L14" s="35" t="s">
        <v>23</v>
      </c>
      <c r="M14" s="105"/>
      <c r="N14" s="106"/>
      <c r="O14" s="101"/>
    </row>
    <row r="15" ht="16.5" customHeight="1">
      <c r="B15" s="28"/>
      <c r="C15" s="103" t="s">
        <v>76</v>
      </c>
      <c r="D15" s="9"/>
      <c r="E15" s="104">
        <v>100.0</v>
      </c>
      <c r="F15" s="104">
        <f t="shared" si="1"/>
        <v>12.5</v>
      </c>
      <c r="G15" s="35">
        <v>1.0</v>
      </c>
      <c r="H15" s="36">
        <f t="shared" si="2"/>
        <v>112.5</v>
      </c>
      <c r="I15" s="37">
        <f t="shared" si="3"/>
        <v>0.04504369238</v>
      </c>
      <c r="J15" s="28"/>
      <c r="K15" s="28"/>
      <c r="L15" s="35" t="s">
        <v>23</v>
      </c>
      <c r="M15" s="105"/>
      <c r="N15" s="106"/>
      <c r="O15" s="101"/>
    </row>
    <row r="16" ht="16.5" customHeight="1">
      <c r="B16" s="32"/>
      <c r="C16" s="103" t="s">
        <v>77</v>
      </c>
      <c r="D16" s="9"/>
      <c r="E16" s="104">
        <v>25.0</v>
      </c>
      <c r="F16" s="104">
        <f t="shared" si="1"/>
        <v>3.125</v>
      </c>
      <c r="G16" s="35">
        <v>1.0</v>
      </c>
      <c r="H16" s="36">
        <f t="shared" si="2"/>
        <v>28.125</v>
      </c>
      <c r="I16" s="37">
        <f t="shared" si="3"/>
        <v>0.0112609231</v>
      </c>
      <c r="J16" s="28"/>
      <c r="K16" s="28"/>
      <c r="L16" s="35" t="s">
        <v>23</v>
      </c>
      <c r="M16" s="105"/>
      <c r="N16" s="100"/>
      <c r="O16" s="101"/>
    </row>
    <row r="17" ht="16.5" customHeight="1">
      <c r="B17" s="33" t="s">
        <v>78</v>
      </c>
      <c r="C17" s="103" t="s">
        <v>79</v>
      </c>
      <c r="D17" s="9"/>
      <c r="E17" s="104">
        <v>28.0</v>
      </c>
      <c r="F17" s="104">
        <f t="shared" si="1"/>
        <v>3.5</v>
      </c>
      <c r="G17" s="35">
        <v>2.0</v>
      </c>
      <c r="H17" s="36">
        <f t="shared" si="2"/>
        <v>48.3</v>
      </c>
      <c r="I17" s="37">
        <f t="shared" si="3"/>
        <v>0.0193387586</v>
      </c>
      <c r="J17" s="38">
        <f>SUM(H17:H19)</f>
        <v>102.6375</v>
      </c>
      <c r="K17" s="39">
        <f>J17/$J$50</f>
        <v>0.04109486202</v>
      </c>
      <c r="L17" s="35" t="s">
        <v>23</v>
      </c>
      <c r="M17" s="40"/>
      <c r="N17" s="100">
        <f>SUM(E17:E41)</f>
        <v>990</v>
      </c>
      <c r="O17" s="101" t="s">
        <v>66</v>
      </c>
    </row>
    <row r="18" ht="16.5" customHeight="1">
      <c r="B18" s="28"/>
      <c r="C18" s="103" t="s">
        <v>80</v>
      </c>
      <c r="D18" s="9"/>
      <c r="E18" s="104">
        <v>10.5</v>
      </c>
      <c r="F18" s="104">
        <f t="shared" si="1"/>
        <v>1.3125</v>
      </c>
      <c r="G18" s="35">
        <v>2.0</v>
      </c>
      <c r="H18" s="36">
        <f t="shared" si="2"/>
        <v>18.1125</v>
      </c>
      <c r="I18" s="37">
        <f t="shared" si="3"/>
        <v>0.007252034473</v>
      </c>
      <c r="J18" s="28"/>
      <c r="K18" s="28"/>
      <c r="L18" s="35" t="s">
        <v>23</v>
      </c>
      <c r="M18" s="40"/>
      <c r="N18" s="100">
        <f>SUM(N17)/60</f>
        <v>16.5</v>
      </c>
      <c r="O18" s="101" t="s">
        <v>69</v>
      </c>
    </row>
    <row r="19" ht="16.5" customHeight="1">
      <c r="B19" s="32"/>
      <c r="C19" s="103" t="s">
        <v>81</v>
      </c>
      <c r="D19" s="9"/>
      <c r="E19" s="104">
        <v>21.0</v>
      </c>
      <c r="F19" s="104">
        <f t="shared" si="1"/>
        <v>2.625</v>
      </c>
      <c r="G19" s="35">
        <v>2.0</v>
      </c>
      <c r="H19" s="36">
        <f t="shared" si="2"/>
        <v>36.225</v>
      </c>
      <c r="I19" s="37">
        <f t="shared" si="3"/>
        <v>0.01450406895</v>
      </c>
      <c r="J19" s="28"/>
      <c r="K19" s="28"/>
      <c r="L19" s="35" t="s">
        <v>23</v>
      </c>
      <c r="M19" s="40"/>
      <c r="N19" s="100">
        <f>SUM(N17)/450</f>
        <v>2.2</v>
      </c>
      <c r="O19" s="101" t="s">
        <v>71</v>
      </c>
    </row>
    <row r="20" ht="16.5" customHeight="1">
      <c r="B20" s="33" t="s">
        <v>82</v>
      </c>
      <c r="C20" s="103" t="s">
        <v>83</v>
      </c>
      <c r="D20" s="9"/>
      <c r="E20" s="104">
        <v>40.0</v>
      </c>
      <c r="F20" s="104">
        <f t="shared" si="1"/>
        <v>5</v>
      </c>
      <c r="G20" s="35">
        <v>2.0</v>
      </c>
      <c r="H20" s="36">
        <f t="shared" si="2"/>
        <v>69</v>
      </c>
      <c r="I20" s="37">
        <f t="shared" si="3"/>
        <v>0.02762679799</v>
      </c>
      <c r="J20" s="38">
        <f>SUM(H20:H24)</f>
        <v>374.625</v>
      </c>
      <c r="K20" s="39">
        <f>J20/$J$50</f>
        <v>0.1499954956</v>
      </c>
      <c r="L20" s="35" t="s">
        <v>23</v>
      </c>
      <c r="M20" s="40"/>
      <c r="N20" s="100"/>
      <c r="O20" s="101"/>
    </row>
    <row r="21" ht="16.5" customHeight="1">
      <c r="B21" s="28"/>
      <c r="C21" s="103" t="s">
        <v>84</v>
      </c>
      <c r="D21" s="9"/>
      <c r="E21" s="104">
        <v>25.0</v>
      </c>
      <c r="F21" s="104">
        <f t="shared" si="1"/>
        <v>3.125</v>
      </c>
      <c r="G21" s="35">
        <v>2.0</v>
      </c>
      <c r="H21" s="36">
        <f t="shared" si="2"/>
        <v>43.125</v>
      </c>
      <c r="I21" s="37">
        <f t="shared" si="3"/>
        <v>0.01726674875</v>
      </c>
      <c r="J21" s="28"/>
      <c r="K21" s="28"/>
      <c r="L21" s="35" t="s">
        <v>23</v>
      </c>
      <c r="M21" s="40"/>
      <c r="N21" s="100"/>
      <c r="O21" s="101"/>
    </row>
    <row r="22" ht="16.5" customHeight="1">
      <c r="B22" s="28"/>
      <c r="C22" s="103" t="s">
        <v>85</v>
      </c>
      <c r="D22" s="9"/>
      <c r="E22" s="104">
        <v>40.0</v>
      </c>
      <c r="F22" s="104">
        <f t="shared" si="1"/>
        <v>5</v>
      </c>
      <c r="G22" s="35">
        <v>2.0</v>
      </c>
      <c r="H22" s="36">
        <f t="shared" si="2"/>
        <v>69</v>
      </c>
      <c r="I22" s="37">
        <f t="shared" si="3"/>
        <v>0.02762679799</v>
      </c>
      <c r="J22" s="28"/>
      <c r="K22" s="28"/>
      <c r="L22" s="35" t="s">
        <v>23</v>
      </c>
      <c r="M22" s="40"/>
      <c r="N22" s="100"/>
      <c r="O22" s="101"/>
    </row>
    <row r="23" ht="16.5" customHeight="1">
      <c r="B23" s="28"/>
      <c r="C23" s="103" t="s">
        <v>86</v>
      </c>
      <c r="D23" s="9"/>
      <c r="E23" s="104">
        <v>60.0</v>
      </c>
      <c r="F23" s="104">
        <f t="shared" si="1"/>
        <v>7.5</v>
      </c>
      <c r="G23" s="35">
        <v>2.0</v>
      </c>
      <c r="H23" s="36">
        <f t="shared" si="2"/>
        <v>103.5</v>
      </c>
      <c r="I23" s="37">
        <f t="shared" si="3"/>
        <v>0.04144019699</v>
      </c>
      <c r="J23" s="28"/>
      <c r="K23" s="28"/>
      <c r="L23" s="35"/>
      <c r="M23" s="40"/>
      <c r="N23" s="100"/>
      <c r="O23" s="101"/>
    </row>
    <row r="24" ht="16.5" customHeight="1">
      <c r="B24" s="32"/>
      <c r="C24" s="103" t="s">
        <v>87</v>
      </c>
      <c r="D24" s="9"/>
      <c r="E24" s="104">
        <v>80.0</v>
      </c>
      <c r="F24" s="104">
        <f t="shared" si="1"/>
        <v>10</v>
      </c>
      <c r="G24" s="35">
        <v>1.0</v>
      </c>
      <c r="H24" s="36">
        <f t="shared" si="2"/>
        <v>90</v>
      </c>
      <c r="I24" s="37">
        <f t="shared" si="3"/>
        <v>0.03603495391</v>
      </c>
      <c r="J24" s="32"/>
      <c r="K24" s="32"/>
      <c r="L24" s="35" t="s">
        <v>23</v>
      </c>
      <c r="M24" s="40"/>
      <c r="N24" s="100"/>
      <c r="O24" s="101"/>
    </row>
    <row r="25" ht="18.0" customHeight="1">
      <c r="B25" s="33" t="s">
        <v>88</v>
      </c>
      <c r="C25" s="103" t="s">
        <v>89</v>
      </c>
      <c r="D25" s="9"/>
      <c r="E25" s="104">
        <v>27.0</v>
      </c>
      <c r="F25" s="104">
        <f t="shared" si="1"/>
        <v>3.375</v>
      </c>
      <c r="G25" s="35">
        <v>2.0</v>
      </c>
      <c r="H25" s="36">
        <f t="shared" si="2"/>
        <v>46.575</v>
      </c>
      <c r="I25" s="37">
        <f t="shared" si="3"/>
        <v>0.01864808865</v>
      </c>
      <c r="J25" s="42">
        <f>SUM(H25:H34)</f>
        <v>545.7</v>
      </c>
      <c r="K25" s="39">
        <f>J25/$J$50</f>
        <v>0.2184919372</v>
      </c>
      <c r="L25" s="35" t="s">
        <v>23</v>
      </c>
      <c r="M25" s="40"/>
      <c r="N25" s="100"/>
      <c r="O25" s="101"/>
    </row>
    <row r="26" ht="18.0" customHeight="1">
      <c r="B26" s="28"/>
      <c r="C26" s="103" t="s">
        <v>90</v>
      </c>
      <c r="D26" s="9"/>
      <c r="E26" s="104">
        <v>60.0</v>
      </c>
      <c r="F26" s="104">
        <f t="shared" si="1"/>
        <v>7.5</v>
      </c>
      <c r="G26" s="35">
        <v>2.0</v>
      </c>
      <c r="H26" s="36">
        <f t="shared" si="2"/>
        <v>103.5</v>
      </c>
      <c r="I26" s="37">
        <f t="shared" si="3"/>
        <v>0.04144019699</v>
      </c>
      <c r="J26" s="28"/>
      <c r="K26" s="28"/>
      <c r="L26" s="35" t="s">
        <v>23</v>
      </c>
      <c r="M26" s="40">
        <v>9.10000801E8</v>
      </c>
      <c r="N26" s="100"/>
      <c r="O26" s="101"/>
    </row>
    <row r="27" ht="18.0" customHeight="1">
      <c r="B27" s="28"/>
      <c r="C27" s="103" t="s">
        <v>91</v>
      </c>
      <c r="D27" s="9"/>
      <c r="E27" s="104">
        <v>45.0</v>
      </c>
      <c r="F27" s="104">
        <f t="shared" si="1"/>
        <v>5.625</v>
      </c>
      <c r="G27" s="35">
        <v>2.0</v>
      </c>
      <c r="H27" s="36">
        <f t="shared" si="2"/>
        <v>77.625</v>
      </c>
      <c r="I27" s="37">
        <f t="shared" si="3"/>
        <v>0.03108014774</v>
      </c>
      <c r="J27" s="28"/>
      <c r="K27" s="28"/>
      <c r="L27" s="35" t="s">
        <v>23</v>
      </c>
      <c r="M27" s="40"/>
      <c r="N27" s="100"/>
      <c r="O27" s="101"/>
    </row>
    <row r="28" ht="18.0" customHeight="1">
      <c r="B28" s="28"/>
      <c r="C28" s="107" t="s">
        <v>92</v>
      </c>
      <c r="D28" s="9"/>
      <c r="E28" s="104">
        <v>60.0</v>
      </c>
      <c r="F28" s="104">
        <f t="shared" si="1"/>
        <v>7.5</v>
      </c>
      <c r="G28" s="35">
        <v>2.0</v>
      </c>
      <c r="H28" s="36">
        <f t="shared" si="2"/>
        <v>103.5</v>
      </c>
      <c r="I28" s="37">
        <f t="shared" si="3"/>
        <v>0.04144019699</v>
      </c>
      <c r="J28" s="28"/>
      <c r="K28" s="28"/>
      <c r="L28" s="35" t="s">
        <v>23</v>
      </c>
      <c r="M28" s="40"/>
      <c r="N28" s="100"/>
      <c r="O28" s="101"/>
    </row>
    <row r="29" ht="18.0" customHeight="1">
      <c r="B29" s="28"/>
      <c r="C29" s="103" t="s">
        <v>93</v>
      </c>
      <c r="D29" s="9"/>
      <c r="E29" s="104">
        <v>60.0</v>
      </c>
      <c r="F29" s="104">
        <f t="shared" si="1"/>
        <v>7.5</v>
      </c>
      <c r="G29" s="35">
        <v>2.0</v>
      </c>
      <c r="H29" s="36">
        <f t="shared" si="2"/>
        <v>103.5</v>
      </c>
      <c r="I29" s="37">
        <f t="shared" si="3"/>
        <v>0.04144019699</v>
      </c>
      <c r="J29" s="28"/>
      <c r="K29" s="28"/>
      <c r="L29" s="35" t="s">
        <v>23</v>
      </c>
      <c r="M29" s="40"/>
      <c r="N29" s="100"/>
      <c r="O29" s="101"/>
    </row>
    <row r="30" ht="18.0" customHeight="1">
      <c r="B30" s="28"/>
      <c r="C30" s="103" t="s">
        <v>94</v>
      </c>
      <c r="D30" s="108"/>
      <c r="E30" s="104">
        <v>35.0</v>
      </c>
      <c r="F30" s="104">
        <f t="shared" si="1"/>
        <v>4.375</v>
      </c>
      <c r="G30" s="35">
        <v>2.0</v>
      </c>
      <c r="H30" s="36">
        <f t="shared" si="2"/>
        <v>60.375</v>
      </c>
      <c r="I30" s="37">
        <f t="shared" si="3"/>
        <v>0.02417344824</v>
      </c>
      <c r="J30" s="28"/>
      <c r="K30" s="28"/>
      <c r="L30" s="35"/>
      <c r="M30" s="40"/>
      <c r="N30" s="100"/>
      <c r="O30" s="101"/>
    </row>
    <row r="31" ht="18.0" customHeight="1">
      <c r="B31" s="28"/>
      <c r="C31" s="103" t="s">
        <v>95</v>
      </c>
      <c r="D31" s="9"/>
      <c r="E31" s="104">
        <v>21.0</v>
      </c>
      <c r="F31" s="104">
        <f t="shared" si="1"/>
        <v>2.625</v>
      </c>
      <c r="G31" s="35">
        <v>1.0</v>
      </c>
      <c r="H31" s="36">
        <f t="shared" si="2"/>
        <v>23.625</v>
      </c>
      <c r="I31" s="37">
        <f t="shared" si="3"/>
        <v>0.0094591754</v>
      </c>
      <c r="J31" s="28"/>
      <c r="K31" s="28"/>
      <c r="L31" s="35"/>
      <c r="M31" s="40"/>
      <c r="N31" s="100"/>
      <c r="O31" s="101"/>
    </row>
    <row r="32" ht="18.0" customHeight="1">
      <c r="B32" s="28"/>
      <c r="C32" s="103" t="s">
        <v>96</v>
      </c>
      <c r="D32" s="9"/>
      <c r="E32" s="104">
        <v>20.0</v>
      </c>
      <c r="F32" s="104">
        <f t="shared" si="1"/>
        <v>2.5</v>
      </c>
      <c r="G32" s="35">
        <v>1.0</v>
      </c>
      <c r="H32" s="36">
        <f t="shared" si="2"/>
        <v>22.5</v>
      </c>
      <c r="I32" s="37">
        <f t="shared" si="3"/>
        <v>0.009008738476</v>
      </c>
      <c r="J32" s="28"/>
      <c r="K32" s="28"/>
      <c r="L32" s="35"/>
      <c r="M32" s="40"/>
      <c r="N32" s="100"/>
      <c r="O32" s="101"/>
    </row>
    <row r="33" ht="18.0" customHeight="1">
      <c r="B33" s="28"/>
      <c r="C33" s="103" t="s">
        <v>97</v>
      </c>
      <c r="D33" s="9"/>
      <c r="E33" s="104">
        <v>2.0</v>
      </c>
      <c r="F33" s="104">
        <f t="shared" si="1"/>
        <v>0.25</v>
      </c>
      <c r="G33" s="35">
        <v>1.0</v>
      </c>
      <c r="H33" s="36">
        <f t="shared" si="2"/>
        <v>2.25</v>
      </c>
      <c r="I33" s="37">
        <f t="shared" si="3"/>
        <v>0.0009008738476</v>
      </c>
      <c r="J33" s="28"/>
      <c r="K33" s="28"/>
      <c r="L33" s="35"/>
      <c r="M33" s="40"/>
      <c r="N33" s="100"/>
      <c r="O33" s="101"/>
    </row>
    <row r="34" ht="18.0" customHeight="1">
      <c r="B34" s="28"/>
      <c r="C34" s="103" t="s">
        <v>98</v>
      </c>
      <c r="D34" s="9"/>
      <c r="E34" s="104">
        <v>2.0</v>
      </c>
      <c r="F34" s="104">
        <f t="shared" si="1"/>
        <v>0.25</v>
      </c>
      <c r="G34" s="35">
        <v>1.0</v>
      </c>
      <c r="H34" s="36">
        <f t="shared" si="2"/>
        <v>2.25</v>
      </c>
      <c r="I34" s="37">
        <f t="shared" si="3"/>
        <v>0.0009008738476</v>
      </c>
      <c r="J34" s="28"/>
      <c r="K34" s="28"/>
      <c r="L34" s="35"/>
      <c r="M34" s="40"/>
      <c r="N34" s="100"/>
      <c r="O34" s="101"/>
    </row>
    <row r="35" ht="18.0" customHeight="1">
      <c r="B35" s="33" t="s">
        <v>99</v>
      </c>
      <c r="C35" s="107" t="s">
        <v>100</v>
      </c>
      <c r="D35" s="9"/>
      <c r="E35" s="104">
        <v>31.499999999999996</v>
      </c>
      <c r="F35" s="104">
        <f t="shared" si="1"/>
        <v>3.9375</v>
      </c>
      <c r="G35" s="35">
        <v>2.0</v>
      </c>
      <c r="H35" s="36">
        <f t="shared" si="2"/>
        <v>54.3375</v>
      </c>
      <c r="I35" s="37">
        <f t="shared" si="3"/>
        <v>0.02175610342</v>
      </c>
      <c r="J35" s="42">
        <f>SUM(H35:H36)</f>
        <v>78.4875</v>
      </c>
      <c r="K35" s="39">
        <f>J35/$J$50</f>
        <v>0.03142548272</v>
      </c>
      <c r="L35" s="35" t="s">
        <v>23</v>
      </c>
      <c r="M35" s="40"/>
      <c r="N35" s="100"/>
      <c r="O35" s="101"/>
    </row>
    <row r="36" ht="18.0" customHeight="1">
      <c r="B36" s="28"/>
      <c r="C36" s="103" t="s">
        <v>101</v>
      </c>
      <c r="D36" s="9"/>
      <c r="E36" s="104">
        <v>14.0</v>
      </c>
      <c r="F36" s="104">
        <f t="shared" si="1"/>
        <v>1.75</v>
      </c>
      <c r="G36" s="35">
        <v>2.0</v>
      </c>
      <c r="H36" s="36">
        <f t="shared" si="2"/>
        <v>24.15</v>
      </c>
      <c r="I36" s="37">
        <f t="shared" si="3"/>
        <v>0.009669379298</v>
      </c>
      <c r="J36" s="28"/>
      <c r="K36" s="28"/>
      <c r="L36" s="35" t="s">
        <v>23</v>
      </c>
      <c r="M36" s="40"/>
      <c r="N36" s="100"/>
      <c r="O36" s="101"/>
    </row>
    <row r="37" ht="18.0" customHeight="1">
      <c r="B37" s="33" t="s">
        <v>102</v>
      </c>
      <c r="C37" s="107" t="s">
        <v>103</v>
      </c>
      <c r="D37" s="9"/>
      <c r="E37" s="104">
        <v>33.0</v>
      </c>
      <c r="F37" s="104">
        <f t="shared" si="1"/>
        <v>4.125</v>
      </c>
      <c r="G37" s="35">
        <v>1.0</v>
      </c>
      <c r="H37" s="36">
        <f t="shared" si="2"/>
        <v>37.125</v>
      </c>
      <c r="I37" s="37">
        <f t="shared" si="3"/>
        <v>0.01486441849</v>
      </c>
      <c r="J37" s="42">
        <f>SUM(H37:H41)</f>
        <v>346.5</v>
      </c>
      <c r="K37" s="39">
        <f>J37/$J$50</f>
        <v>0.1387345725</v>
      </c>
      <c r="L37" s="35" t="s">
        <v>23</v>
      </c>
      <c r="M37" s="40"/>
      <c r="N37" s="100"/>
      <c r="O37" s="101"/>
    </row>
    <row r="38" ht="18.0" customHeight="1">
      <c r="B38" s="28"/>
      <c r="C38" s="103" t="s">
        <v>104</v>
      </c>
      <c r="D38" s="9"/>
      <c r="E38" s="104">
        <v>15.0</v>
      </c>
      <c r="F38" s="104">
        <f t="shared" si="1"/>
        <v>1.875</v>
      </c>
      <c r="G38" s="35">
        <v>1.0</v>
      </c>
      <c r="H38" s="36">
        <f t="shared" si="2"/>
        <v>16.875</v>
      </c>
      <c r="I38" s="37">
        <f t="shared" si="3"/>
        <v>0.006756553857</v>
      </c>
      <c r="J38" s="28"/>
      <c r="K38" s="28"/>
      <c r="L38" s="35" t="s">
        <v>23</v>
      </c>
      <c r="M38" s="40"/>
      <c r="N38" s="100"/>
      <c r="O38" s="101"/>
    </row>
    <row r="39" ht="18.0" customHeight="1">
      <c r="B39" s="28"/>
      <c r="C39" s="103" t="s">
        <v>105</v>
      </c>
      <c r="D39" s="9"/>
      <c r="E39" s="104">
        <v>20.0</v>
      </c>
      <c r="F39" s="104">
        <f t="shared" si="1"/>
        <v>2.5</v>
      </c>
      <c r="G39" s="35">
        <v>1.0</v>
      </c>
      <c r="H39" s="36">
        <f t="shared" si="2"/>
        <v>22.5</v>
      </c>
      <c r="I39" s="37">
        <f t="shared" si="3"/>
        <v>0.009008738476</v>
      </c>
      <c r="J39" s="28"/>
      <c r="K39" s="28"/>
      <c r="L39" s="35" t="s">
        <v>23</v>
      </c>
      <c r="M39" s="40"/>
      <c r="N39" s="100"/>
      <c r="O39" s="101"/>
    </row>
    <row r="40" ht="18.0" customHeight="1">
      <c r="B40" s="28"/>
      <c r="C40" s="103" t="s">
        <v>106</v>
      </c>
      <c r="D40" s="9"/>
      <c r="E40" s="104">
        <v>50.0</v>
      </c>
      <c r="F40" s="104">
        <f t="shared" si="1"/>
        <v>6.25</v>
      </c>
      <c r="G40" s="35">
        <v>1.0</v>
      </c>
      <c r="H40" s="36">
        <f t="shared" si="2"/>
        <v>56.25</v>
      </c>
      <c r="I40" s="37">
        <f t="shared" si="3"/>
        <v>0.02252184619</v>
      </c>
      <c r="J40" s="28"/>
      <c r="K40" s="28"/>
      <c r="L40" s="35"/>
      <c r="M40" s="40"/>
      <c r="N40" s="100"/>
      <c r="O40" s="101"/>
    </row>
    <row r="41" ht="18.0" customHeight="1">
      <c r="B41" s="32"/>
      <c r="C41" s="103" t="s">
        <v>107</v>
      </c>
      <c r="D41" s="9"/>
      <c r="E41" s="104">
        <v>190.0</v>
      </c>
      <c r="F41" s="104">
        <f t="shared" si="1"/>
        <v>23.75</v>
      </c>
      <c r="G41" s="35">
        <v>1.0</v>
      </c>
      <c r="H41" s="36">
        <f t="shared" si="2"/>
        <v>213.75</v>
      </c>
      <c r="I41" s="37">
        <f t="shared" si="3"/>
        <v>0.08558301553</v>
      </c>
      <c r="J41" s="32"/>
      <c r="K41" s="32"/>
      <c r="L41" s="35" t="s">
        <v>23</v>
      </c>
      <c r="M41" s="40"/>
      <c r="N41" s="100"/>
      <c r="O41" s="101"/>
    </row>
    <row r="42" ht="16.5" customHeight="1">
      <c r="B42" s="33" t="s">
        <v>108</v>
      </c>
      <c r="C42" s="103" t="s">
        <v>109</v>
      </c>
      <c r="D42" s="9"/>
      <c r="E42" s="104">
        <v>27.0</v>
      </c>
      <c r="F42" s="104">
        <f t="shared" si="1"/>
        <v>3.375</v>
      </c>
      <c r="G42" s="35">
        <v>1.0</v>
      </c>
      <c r="H42" s="36">
        <f t="shared" si="2"/>
        <v>30.375</v>
      </c>
      <c r="I42" s="37">
        <f t="shared" si="3"/>
        <v>0.01216179694</v>
      </c>
      <c r="J42" s="42">
        <f>SUM(H42:H49)</f>
        <v>425.25</v>
      </c>
      <c r="K42" s="39">
        <f>J42/$J$50</f>
        <v>0.1702651572</v>
      </c>
      <c r="L42" s="35" t="s">
        <v>23</v>
      </c>
      <c r="M42" s="40" t="s">
        <v>110</v>
      </c>
      <c r="N42" s="100">
        <f>SUM(E42:E49)</f>
        <v>378</v>
      </c>
      <c r="O42" s="101" t="s">
        <v>66</v>
      </c>
    </row>
    <row r="43" ht="16.5" customHeight="1">
      <c r="B43" s="28"/>
      <c r="C43" s="103" t="s">
        <v>111</v>
      </c>
      <c r="D43" s="9"/>
      <c r="E43" s="104">
        <v>28.0</v>
      </c>
      <c r="F43" s="104">
        <f t="shared" si="1"/>
        <v>3.5</v>
      </c>
      <c r="G43" s="35">
        <v>1.0</v>
      </c>
      <c r="H43" s="36">
        <f t="shared" si="2"/>
        <v>31.5</v>
      </c>
      <c r="I43" s="37">
        <f t="shared" si="3"/>
        <v>0.01261223387</v>
      </c>
      <c r="J43" s="28"/>
      <c r="K43" s="28"/>
      <c r="L43" s="35" t="s">
        <v>23</v>
      </c>
      <c r="M43" s="40" t="s">
        <v>112</v>
      </c>
      <c r="N43" s="100">
        <f>SUM(N42)/60</f>
        <v>6.3</v>
      </c>
      <c r="O43" s="101" t="s">
        <v>69</v>
      </c>
    </row>
    <row r="44" ht="16.5" customHeight="1">
      <c r="B44" s="28"/>
      <c r="C44" s="109" t="s">
        <v>113</v>
      </c>
      <c r="D44" s="48"/>
      <c r="E44" s="110">
        <v>28.0</v>
      </c>
      <c r="F44" s="110">
        <f t="shared" si="1"/>
        <v>3.5</v>
      </c>
      <c r="G44" s="49">
        <v>1.0</v>
      </c>
      <c r="H44" s="36">
        <f t="shared" si="2"/>
        <v>31.5</v>
      </c>
      <c r="I44" s="39">
        <f t="shared" si="3"/>
        <v>0.01261223387</v>
      </c>
      <c r="J44" s="28"/>
      <c r="K44" s="28"/>
      <c r="L44" s="49" t="s">
        <v>23</v>
      </c>
      <c r="M44" s="51" t="s">
        <v>114</v>
      </c>
      <c r="N44" s="100">
        <f>SUM(N42)/450</f>
        <v>0.84</v>
      </c>
      <c r="O44" s="101" t="s">
        <v>71</v>
      </c>
    </row>
    <row r="45" ht="16.5" customHeight="1">
      <c r="B45" s="28"/>
      <c r="C45" s="103" t="s">
        <v>115</v>
      </c>
      <c r="D45" s="9"/>
      <c r="E45" s="104">
        <v>35.0</v>
      </c>
      <c r="F45" s="104">
        <f t="shared" si="1"/>
        <v>4.375</v>
      </c>
      <c r="G45" s="35">
        <v>1.0</v>
      </c>
      <c r="H45" s="36">
        <f t="shared" si="2"/>
        <v>39.375</v>
      </c>
      <c r="I45" s="37">
        <f t="shared" si="3"/>
        <v>0.01576529233</v>
      </c>
      <c r="J45" s="28"/>
      <c r="K45" s="28"/>
      <c r="L45" s="35" t="s">
        <v>23</v>
      </c>
      <c r="M45" s="40" t="s">
        <v>116</v>
      </c>
      <c r="N45" s="100"/>
      <c r="O45" s="101"/>
    </row>
    <row r="46" ht="16.5" customHeight="1">
      <c r="B46" s="28"/>
      <c r="C46" s="107" t="s">
        <v>117</v>
      </c>
      <c r="D46" s="9"/>
      <c r="E46" s="110">
        <v>70.0</v>
      </c>
      <c r="F46" s="110">
        <f t="shared" si="1"/>
        <v>8.75</v>
      </c>
      <c r="G46" s="49">
        <v>1.0</v>
      </c>
      <c r="H46" s="36">
        <f t="shared" si="2"/>
        <v>78.75</v>
      </c>
      <c r="I46" s="39">
        <f t="shared" si="3"/>
        <v>0.03153058467</v>
      </c>
      <c r="J46" s="28"/>
      <c r="K46" s="28"/>
      <c r="L46" s="49" t="s">
        <v>23</v>
      </c>
      <c r="M46" s="51" t="s">
        <v>118</v>
      </c>
      <c r="N46" s="100"/>
      <c r="O46" s="101"/>
    </row>
    <row r="47" ht="16.5" customHeight="1">
      <c r="B47" s="28"/>
      <c r="C47" s="107" t="s">
        <v>119</v>
      </c>
      <c r="D47" s="9"/>
      <c r="E47" s="110">
        <v>70.0</v>
      </c>
      <c r="F47" s="110">
        <f t="shared" si="1"/>
        <v>8.75</v>
      </c>
      <c r="G47" s="49">
        <v>1.0</v>
      </c>
      <c r="H47" s="36">
        <f t="shared" si="2"/>
        <v>78.75</v>
      </c>
      <c r="I47" s="39">
        <f t="shared" si="3"/>
        <v>0.03153058467</v>
      </c>
      <c r="J47" s="28"/>
      <c r="K47" s="28"/>
      <c r="L47" s="49"/>
      <c r="M47" s="51"/>
      <c r="N47" s="100"/>
      <c r="O47" s="101"/>
    </row>
    <row r="48" ht="16.5" customHeight="1">
      <c r="B48" s="28"/>
      <c r="C48" s="107" t="s">
        <v>120</v>
      </c>
      <c r="D48" s="9"/>
      <c r="E48" s="110">
        <v>50.0</v>
      </c>
      <c r="F48" s="110">
        <f t="shared" si="1"/>
        <v>6.25</v>
      </c>
      <c r="G48" s="49">
        <v>1.0</v>
      </c>
      <c r="H48" s="36">
        <f t="shared" si="2"/>
        <v>56.25</v>
      </c>
      <c r="I48" s="37">
        <f t="shared" si="3"/>
        <v>0.02252184619</v>
      </c>
      <c r="J48" s="28"/>
      <c r="K48" s="28"/>
      <c r="L48" s="49"/>
      <c r="M48" s="51"/>
      <c r="N48" s="100"/>
      <c r="O48" s="101"/>
    </row>
    <row r="49" ht="16.5" customHeight="1">
      <c r="B49" s="28"/>
      <c r="C49" s="107" t="s">
        <v>121</v>
      </c>
      <c r="D49" s="9"/>
      <c r="E49" s="110">
        <v>70.0</v>
      </c>
      <c r="F49" s="110">
        <f t="shared" si="1"/>
        <v>8.75</v>
      </c>
      <c r="G49" s="49">
        <v>1.0</v>
      </c>
      <c r="H49" s="36">
        <f t="shared" si="2"/>
        <v>78.75</v>
      </c>
      <c r="I49" s="39">
        <f t="shared" si="3"/>
        <v>0.03153058467</v>
      </c>
      <c r="J49" s="50"/>
      <c r="K49" s="50"/>
      <c r="L49" s="49" t="s">
        <v>23</v>
      </c>
      <c r="M49" s="51" t="s">
        <v>122</v>
      </c>
      <c r="N49" s="100"/>
      <c r="O49" s="101"/>
    </row>
    <row r="50" ht="26.25" customHeight="1">
      <c r="B50" s="52" t="s">
        <v>24</v>
      </c>
      <c r="C50" s="53"/>
      <c r="D50" s="54"/>
      <c r="E50" s="111">
        <f t="shared" ref="E50:F50" si="4">SUM(E7:E49)</f>
        <v>1938</v>
      </c>
      <c r="F50" s="56">
        <f t="shared" si="4"/>
        <v>242.25</v>
      </c>
      <c r="G50" s="57" t="s">
        <v>25</v>
      </c>
      <c r="H50" s="58">
        <f t="shared" ref="H50:K50" si="5">SUM(H7:H49)</f>
        <v>2497.575</v>
      </c>
      <c r="I50" s="59">
        <f t="shared" si="5"/>
        <v>1</v>
      </c>
      <c r="J50" s="60">
        <f t="shared" si="5"/>
        <v>2497.575</v>
      </c>
      <c r="K50" s="59">
        <f t="shared" si="5"/>
        <v>1</v>
      </c>
      <c r="L50" s="61"/>
      <c r="M50" s="62"/>
      <c r="N50" s="100"/>
      <c r="O50" s="101"/>
    </row>
    <row r="51" ht="15.75" customHeight="1">
      <c r="B51" s="63" t="s">
        <v>26</v>
      </c>
      <c r="C51" s="64"/>
      <c r="D51" s="48"/>
      <c r="E51" s="65">
        <f t="shared" ref="E51:F51" si="6">E50/60/7.5</f>
        <v>4.306666667</v>
      </c>
      <c r="F51" s="65">
        <f t="shared" si="6"/>
        <v>0.5383333333</v>
      </c>
      <c r="G51" s="66" t="s">
        <v>27</v>
      </c>
      <c r="H51" s="66">
        <f>(SUM(H7:H41)/60)/8</f>
        <v>4.31734375</v>
      </c>
      <c r="I51" s="28"/>
      <c r="J51" s="41">
        <f>(J50/60)/8</f>
        <v>5.20328125</v>
      </c>
      <c r="K51" s="28"/>
      <c r="M51" s="67"/>
      <c r="N51" s="100"/>
      <c r="O51" s="101"/>
    </row>
    <row r="52" ht="15.75" customHeight="1">
      <c r="B52" s="68"/>
      <c r="C52" s="69"/>
      <c r="D52" s="70"/>
      <c r="E52" s="50"/>
      <c r="F52" s="50"/>
      <c r="G52" s="71" t="s">
        <v>28</v>
      </c>
      <c r="H52" s="71">
        <f>(SUM(H42:H49)/60)/8</f>
        <v>0.8859375</v>
      </c>
      <c r="I52" s="50"/>
      <c r="J52" s="50"/>
      <c r="K52" s="50"/>
      <c r="L52" s="69"/>
      <c r="M52" s="70"/>
      <c r="N52" s="100"/>
      <c r="O52" s="101"/>
    </row>
    <row r="53" ht="36.75" customHeight="1">
      <c r="B53" s="72" t="s">
        <v>29</v>
      </c>
      <c r="C53" s="73" t="s">
        <v>30</v>
      </c>
      <c r="D53" s="73" t="s">
        <v>31</v>
      </c>
      <c r="E53" s="72" t="s">
        <v>32</v>
      </c>
      <c r="F53" s="74" t="s">
        <v>33</v>
      </c>
      <c r="G53" s="73"/>
      <c r="H53" s="75" t="s">
        <v>34</v>
      </c>
      <c r="I53" s="76"/>
      <c r="J53" s="76"/>
      <c r="K53" s="77" t="s">
        <v>35</v>
      </c>
      <c r="L53" s="67"/>
      <c r="M53" s="78" t="s">
        <v>123</v>
      </c>
      <c r="N53" s="100"/>
      <c r="O53" s="101"/>
    </row>
    <row r="54" ht="36.75" customHeight="1">
      <c r="B54" s="28"/>
      <c r="C54" s="79" t="s">
        <v>36</v>
      </c>
      <c r="D54" s="79" t="s">
        <v>37</v>
      </c>
      <c r="E54" s="28"/>
      <c r="F54" s="80" t="s">
        <v>38</v>
      </c>
      <c r="G54" s="79"/>
      <c r="H54" s="81" t="s">
        <v>34</v>
      </c>
      <c r="I54" s="82"/>
      <c r="J54" s="82"/>
      <c r="K54" s="83"/>
      <c r="L54" s="67"/>
      <c r="M54" s="28"/>
      <c r="N54" s="100"/>
      <c r="O54" s="101"/>
    </row>
    <row r="55" ht="36.75" customHeight="1">
      <c r="B55" s="28"/>
      <c r="C55" s="79" t="s">
        <v>39</v>
      </c>
      <c r="D55" s="79" t="s">
        <v>40</v>
      </c>
      <c r="E55" s="28"/>
      <c r="F55" s="80" t="s">
        <v>41</v>
      </c>
      <c r="G55" s="79"/>
      <c r="H55" s="81" t="s">
        <v>34</v>
      </c>
      <c r="I55" s="84"/>
      <c r="J55" s="84"/>
      <c r="K55" s="85"/>
      <c r="L55" s="86"/>
      <c r="M55" s="32"/>
      <c r="N55" s="100"/>
      <c r="O55" s="101"/>
    </row>
    <row r="56" ht="36.75" customHeight="1">
      <c r="B56" s="28"/>
      <c r="C56" s="79" t="s">
        <v>42</v>
      </c>
      <c r="D56" s="79" t="s">
        <v>43</v>
      </c>
      <c r="E56" s="28"/>
      <c r="F56" s="80" t="s">
        <v>44</v>
      </c>
      <c r="G56" s="79"/>
      <c r="H56" s="81" t="s">
        <v>34</v>
      </c>
      <c r="I56" s="84"/>
      <c r="J56" s="84"/>
      <c r="K56" s="87" t="s">
        <v>45</v>
      </c>
      <c r="L56" s="48"/>
      <c r="M56" s="88">
        <v>45812.0</v>
      </c>
      <c r="N56" s="100"/>
      <c r="O56" s="101"/>
    </row>
    <row r="57" ht="36.75" customHeight="1">
      <c r="B57" s="32"/>
      <c r="C57" s="79" t="s">
        <v>46</v>
      </c>
      <c r="D57" s="79" t="s">
        <v>47</v>
      </c>
      <c r="E57" s="32"/>
      <c r="F57" s="80" t="s">
        <v>48</v>
      </c>
      <c r="G57" s="79"/>
      <c r="H57" s="81" t="s">
        <v>34</v>
      </c>
      <c r="I57" s="82"/>
      <c r="J57" s="82"/>
      <c r="K57" s="85"/>
      <c r="L57" s="86"/>
      <c r="M57" s="32"/>
      <c r="N57" s="100"/>
      <c r="O57" s="101"/>
    </row>
    <row r="58" ht="48.75" customHeight="1">
      <c r="B58" s="89" t="s">
        <v>49</v>
      </c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86"/>
      <c r="N58" s="100"/>
      <c r="O58" s="101"/>
    </row>
    <row r="59" ht="15.75" customHeight="1">
      <c r="B59" s="91" t="s">
        <v>50</v>
      </c>
      <c r="C59" s="92"/>
      <c r="D59" s="92"/>
      <c r="E59" s="93"/>
      <c r="F59" s="93"/>
      <c r="G59" s="7" t="s">
        <v>51</v>
      </c>
      <c r="H59" s="7"/>
      <c r="I59" s="94"/>
      <c r="J59" s="94"/>
      <c r="K59" s="94"/>
      <c r="L59" s="95" t="s">
        <v>52</v>
      </c>
      <c r="N59" s="100"/>
      <c r="O59" s="101"/>
    </row>
    <row r="60" ht="15.75" customHeight="1">
      <c r="B60" s="91" t="s">
        <v>53</v>
      </c>
      <c r="C60" s="92"/>
      <c r="D60" s="92"/>
      <c r="E60" s="93"/>
      <c r="F60" s="93"/>
      <c r="G60" s="93"/>
      <c r="H60" s="93"/>
      <c r="I60" s="96"/>
      <c r="J60" s="96"/>
      <c r="K60" s="96"/>
      <c r="L60" s="93"/>
      <c r="N60" s="100"/>
      <c r="O60" s="101"/>
    </row>
    <row r="61" ht="15.75" customHeight="1">
      <c r="B61" s="91" t="s">
        <v>124</v>
      </c>
      <c r="C61" s="92"/>
      <c r="D61" s="92"/>
      <c r="E61" s="93"/>
      <c r="F61" s="93"/>
      <c r="G61" s="93"/>
      <c r="H61" s="93"/>
      <c r="I61" s="96"/>
      <c r="J61" s="96"/>
      <c r="K61" s="96"/>
      <c r="L61" s="93"/>
      <c r="N61" s="100"/>
      <c r="O61" s="101"/>
    </row>
    <row r="62" ht="15.75" customHeight="1">
      <c r="B62" s="91" t="s">
        <v>55</v>
      </c>
      <c r="C62" s="92"/>
      <c r="D62" s="92"/>
      <c r="E62" s="93"/>
      <c r="F62" s="93"/>
      <c r="G62" s="93"/>
      <c r="H62" s="93"/>
      <c r="I62" s="96"/>
      <c r="J62" s="96"/>
      <c r="K62" s="96"/>
      <c r="L62" s="93"/>
      <c r="N62" s="100"/>
      <c r="O62" s="101"/>
    </row>
    <row r="63" ht="15.75" customHeight="1">
      <c r="B63" s="91" t="s">
        <v>125</v>
      </c>
      <c r="C63" s="92"/>
      <c r="D63" s="92"/>
      <c r="E63" s="93"/>
      <c r="F63" s="93"/>
      <c r="G63" s="93"/>
      <c r="H63" s="93"/>
      <c r="I63" s="96"/>
      <c r="J63" s="96"/>
      <c r="K63" s="96"/>
      <c r="L63" s="93"/>
      <c r="N63" s="100"/>
      <c r="O63" s="101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  <c r="N64" s="100"/>
      <c r="O64" s="101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  <c r="N65" s="100"/>
      <c r="O65" s="101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  <c r="N66" s="100"/>
      <c r="O66" s="101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  <c r="N67" s="100"/>
      <c r="O67" s="101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  <c r="N68" s="100"/>
      <c r="O68" s="101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  <c r="N69" s="100"/>
      <c r="O69" s="101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  <c r="N70" s="100"/>
      <c r="O70" s="101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  <c r="N71" s="100"/>
      <c r="O71" s="101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  <c r="N72" s="100"/>
      <c r="O72" s="101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  <c r="N73" s="100"/>
      <c r="O73" s="101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  <c r="N74" s="100"/>
      <c r="O74" s="101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  <c r="N75" s="100"/>
      <c r="O75" s="101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  <c r="N76" s="100"/>
      <c r="O76" s="101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  <c r="N77" s="100"/>
      <c r="O77" s="101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  <c r="N78" s="100"/>
      <c r="O78" s="101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  <c r="N79" s="100"/>
      <c r="O79" s="101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  <c r="N80" s="100"/>
      <c r="O80" s="101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  <c r="N81" s="100"/>
      <c r="O81" s="101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  <c r="N82" s="100"/>
      <c r="O82" s="101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  <c r="N83" s="100"/>
      <c r="O83" s="101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  <c r="N84" s="100"/>
      <c r="O84" s="101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  <c r="N85" s="100"/>
      <c r="O85" s="101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  <c r="N86" s="100"/>
      <c r="O86" s="101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  <c r="N87" s="100"/>
      <c r="O87" s="101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  <c r="N88" s="100"/>
      <c r="O88" s="101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  <c r="N89" s="100"/>
      <c r="O89" s="101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  <c r="N90" s="100"/>
      <c r="O90" s="101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  <c r="N91" s="100"/>
      <c r="O91" s="101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  <c r="N92" s="100"/>
      <c r="O92" s="101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  <c r="N93" s="100"/>
      <c r="O93" s="101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  <c r="N94" s="100"/>
      <c r="O94" s="101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  <c r="N95" s="100"/>
      <c r="O95" s="101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  <c r="N96" s="100"/>
      <c r="O96" s="101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  <c r="N97" s="100"/>
      <c r="O97" s="101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  <c r="N98" s="100"/>
      <c r="O98" s="101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  <c r="N99" s="100"/>
      <c r="O99" s="101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  <c r="N100" s="100"/>
      <c r="O100" s="101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  <c r="N101" s="100"/>
      <c r="O101" s="101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  <c r="N102" s="100"/>
      <c r="O102" s="101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  <c r="N103" s="100"/>
      <c r="O103" s="101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  <c r="N104" s="100"/>
      <c r="O104" s="101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  <c r="N105" s="100"/>
      <c r="O105" s="101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  <c r="N106" s="100"/>
      <c r="O106" s="101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  <c r="N107" s="100"/>
      <c r="O107" s="101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  <c r="N108" s="100"/>
      <c r="O108" s="101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  <c r="N109" s="100"/>
      <c r="O109" s="101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  <c r="N110" s="100"/>
      <c r="O110" s="101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  <c r="N111" s="100"/>
      <c r="O111" s="101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  <c r="N112" s="100"/>
      <c r="O112" s="101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  <c r="N113" s="100"/>
      <c r="O113" s="101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  <c r="N114" s="100"/>
      <c r="O114" s="101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  <c r="N115" s="100"/>
      <c r="O115" s="101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  <c r="N116" s="100"/>
      <c r="O116" s="101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  <c r="N117" s="100"/>
      <c r="O117" s="101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  <c r="N118" s="100"/>
      <c r="O118" s="101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  <c r="N119" s="100"/>
      <c r="O119" s="101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  <c r="N120" s="100"/>
      <c r="O120" s="101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  <c r="N121" s="100"/>
      <c r="O121" s="101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  <c r="N122" s="100"/>
      <c r="O122" s="101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  <c r="N123" s="100"/>
      <c r="O123" s="101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  <c r="N124" s="100"/>
      <c r="O124" s="101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  <c r="N125" s="100"/>
      <c r="O125" s="101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  <c r="N126" s="100"/>
      <c r="O126" s="101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  <c r="N127" s="100"/>
      <c r="O127" s="101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  <c r="N128" s="100"/>
      <c r="O128" s="101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  <c r="N129" s="100"/>
      <c r="O129" s="101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  <c r="N130" s="100"/>
      <c r="O130" s="101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  <c r="N131" s="100"/>
      <c r="O131" s="101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  <c r="N132" s="100"/>
      <c r="O132" s="101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  <c r="N133" s="100"/>
      <c r="O133" s="101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  <c r="N134" s="100"/>
      <c r="O134" s="101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  <c r="N135" s="100"/>
      <c r="O135" s="101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  <c r="N136" s="100"/>
      <c r="O136" s="101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  <c r="N137" s="100"/>
      <c r="O137" s="101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  <c r="N138" s="100"/>
      <c r="O138" s="101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  <c r="N139" s="100"/>
      <c r="O139" s="101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  <c r="N140" s="100"/>
      <c r="O140" s="101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  <c r="N141" s="100"/>
      <c r="O141" s="101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  <c r="N142" s="100"/>
      <c r="O142" s="101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  <c r="N143" s="100"/>
      <c r="O143" s="101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  <c r="N144" s="100"/>
      <c r="O144" s="101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  <c r="N145" s="100"/>
      <c r="O145" s="101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  <c r="N146" s="100"/>
      <c r="O146" s="101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  <c r="N147" s="100"/>
      <c r="O147" s="101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  <c r="N148" s="100"/>
      <c r="O148" s="101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  <c r="N149" s="100"/>
      <c r="O149" s="101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  <c r="N150" s="100"/>
      <c r="O150" s="101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  <c r="N151" s="100"/>
      <c r="O151" s="101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  <c r="N152" s="100"/>
      <c r="O152" s="101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  <c r="N153" s="100"/>
      <c r="O153" s="101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  <c r="N154" s="100"/>
      <c r="O154" s="101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  <c r="N155" s="100"/>
      <c r="O155" s="101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  <c r="N156" s="100"/>
      <c r="O156" s="101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  <c r="N157" s="100"/>
      <c r="O157" s="101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  <c r="N158" s="100"/>
      <c r="O158" s="101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  <c r="N159" s="100"/>
      <c r="O159" s="101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  <c r="N160" s="100"/>
      <c r="O160" s="101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  <c r="N161" s="100"/>
      <c r="O161" s="101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  <c r="N162" s="100"/>
      <c r="O162" s="101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  <c r="N163" s="100"/>
      <c r="O163" s="101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  <c r="N164" s="100"/>
      <c r="O164" s="101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  <c r="N165" s="100"/>
      <c r="O165" s="101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  <c r="N166" s="100"/>
      <c r="O166" s="101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  <c r="N167" s="100"/>
      <c r="O167" s="101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  <c r="N168" s="100"/>
      <c r="O168" s="101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  <c r="N169" s="100"/>
      <c r="O169" s="101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  <c r="N170" s="100"/>
      <c r="O170" s="101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  <c r="N171" s="100"/>
      <c r="O171" s="101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  <c r="N172" s="100"/>
      <c r="O172" s="101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  <c r="N173" s="100"/>
      <c r="O173" s="101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  <c r="N174" s="100"/>
      <c r="O174" s="101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  <c r="N175" s="100"/>
      <c r="O175" s="101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  <c r="N176" s="100"/>
      <c r="O176" s="101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  <c r="N177" s="100"/>
      <c r="O177" s="101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  <c r="N178" s="100"/>
      <c r="O178" s="101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  <c r="N179" s="100"/>
      <c r="O179" s="101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  <c r="N180" s="100"/>
      <c r="O180" s="101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  <c r="N181" s="100"/>
      <c r="O181" s="101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  <c r="N182" s="100"/>
      <c r="O182" s="101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  <c r="N183" s="100"/>
      <c r="O183" s="101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  <c r="N184" s="100"/>
      <c r="O184" s="101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  <c r="N185" s="100"/>
      <c r="O185" s="101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  <c r="N186" s="100"/>
      <c r="O186" s="101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  <c r="N187" s="100"/>
      <c r="O187" s="101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  <c r="N188" s="100"/>
      <c r="O188" s="101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  <c r="N189" s="100"/>
      <c r="O189" s="101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  <c r="N190" s="100"/>
      <c r="O190" s="101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  <c r="N191" s="100"/>
      <c r="O191" s="101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  <c r="N192" s="100"/>
      <c r="O192" s="101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  <c r="N193" s="100"/>
      <c r="O193" s="101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  <c r="N194" s="100"/>
      <c r="O194" s="101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  <c r="N195" s="100"/>
      <c r="O195" s="101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  <c r="N196" s="100"/>
      <c r="O196" s="101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  <c r="N197" s="100"/>
      <c r="O197" s="101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  <c r="N198" s="100"/>
      <c r="O198" s="101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  <c r="N199" s="100"/>
      <c r="O199" s="101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  <c r="N200" s="100"/>
      <c r="O200" s="101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  <c r="N201" s="100"/>
      <c r="O201" s="101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  <c r="N202" s="100"/>
      <c r="O202" s="101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  <c r="N203" s="100"/>
      <c r="O203" s="101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  <c r="N204" s="100"/>
      <c r="O204" s="101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  <c r="N205" s="100"/>
      <c r="O205" s="101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  <c r="N206" s="100"/>
      <c r="O206" s="101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  <c r="N207" s="100"/>
      <c r="O207" s="101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  <c r="N208" s="100"/>
      <c r="O208" s="101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  <c r="N209" s="100"/>
      <c r="O209" s="101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  <c r="N210" s="100"/>
      <c r="O210" s="101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  <c r="N211" s="100"/>
      <c r="O211" s="101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  <c r="N212" s="100"/>
      <c r="O212" s="101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  <c r="N213" s="100"/>
      <c r="O213" s="101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  <c r="N214" s="100"/>
      <c r="O214" s="101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  <c r="N215" s="100"/>
      <c r="O215" s="101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  <c r="N216" s="100"/>
      <c r="O216" s="101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  <c r="N217" s="100"/>
      <c r="O217" s="101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  <c r="N218" s="100"/>
      <c r="O218" s="101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  <c r="N219" s="100"/>
      <c r="O219" s="101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  <c r="N220" s="100"/>
      <c r="O220" s="101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  <c r="N221" s="100"/>
      <c r="O221" s="101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  <c r="N222" s="100"/>
      <c r="O222" s="101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  <c r="N223" s="100"/>
      <c r="O223" s="101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  <c r="N224" s="100"/>
      <c r="O224" s="101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  <c r="N225" s="100"/>
      <c r="O225" s="101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  <c r="N226" s="100"/>
      <c r="O226" s="101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  <c r="N227" s="100"/>
      <c r="O227" s="101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  <c r="N228" s="100"/>
      <c r="O228" s="101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  <c r="N229" s="100"/>
      <c r="O229" s="101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  <c r="N230" s="100"/>
      <c r="O230" s="101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  <c r="N231" s="100"/>
      <c r="O231" s="101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  <c r="N232" s="100"/>
      <c r="O232" s="101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  <c r="N233" s="100"/>
      <c r="O233" s="101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  <c r="N234" s="100"/>
      <c r="O234" s="101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  <c r="N235" s="100"/>
      <c r="O235" s="101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  <c r="N236" s="100"/>
      <c r="O236" s="101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  <c r="N237" s="100"/>
      <c r="O237" s="101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  <c r="N238" s="100"/>
      <c r="O238" s="101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  <c r="N239" s="100"/>
      <c r="O239" s="101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  <c r="N240" s="100"/>
      <c r="O240" s="101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  <c r="N241" s="100"/>
      <c r="O241" s="101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  <c r="N242" s="100"/>
      <c r="O242" s="101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  <c r="N243" s="100"/>
      <c r="O243" s="101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  <c r="N244" s="100"/>
      <c r="O244" s="101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  <c r="N245" s="100"/>
      <c r="O245" s="101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  <c r="N246" s="100"/>
      <c r="O246" s="101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  <c r="N247" s="100"/>
      <c r="O247" s="101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  <c r="N248" s="100"/>
      <c r="O248" s="101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  <c r="N249" s="100"/>
      <c r="O249" s="101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  <c r="N250" s="100"/>
      <c r="O250" s="101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  <c r="N251" s="100"/>
      <c r="O251" s="101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  <c r="N252" s="100"/>
      <c r="O252" s="101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  <c r="N253" s="100"/>
      <c r="O253" s="101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  <c r="N254" s="100"/>
      <c r="O254" s="101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  <c r="N255" s="100"/>
      <c r="O255" s="101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  <c r="N256" s="100"/>
      <c r="O256" s="101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  <c r="N257" s="100"/>
      <c r="O257" s="101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  <c r="N258" s="100"/>
      <c r="O258" s="101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  <c r="N259" s="100"/>
      <c r="O259" s="101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  <c r="N260" s="100"/>
      <c r="O260" s="101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  <c r="N261" s="100"/>
      <c r="O261" s="101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  <c r="N262" s="100"/>
      <c r="O262" s="101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  <c r="N263" s="100"/>
      <c r="O263" s="101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  <c r="N264" s="100"/>
      <c r="O264" s="101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  <c r="N265" s="100"/>
      <c r="O265" s="101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  <c r="N266" s="100"/>
      <c r="O266" s="101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  <c r="N267" s="100"/>
      <c r="O267" s="101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  <c r="N268" s="100"/>
      <c r="O268" s="101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  <c r="N269" s="100"/>
      <c r="O269" s="101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  <c r="N270" s="100"/>
      <c r="O270" s="101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  <c r="N271" s="100"/>
      <c r="O271" s="101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  <c r="N272" s="100"/>
      <c r="O272" s="101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  <c r="N273" s="100"/>
      <c r="O273" s="101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  <c r="N274" s="100"/>
      <c r="O274" s="101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  <c r="N275" s="100"/>
      <c r="O275" s="101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  <c r="N276" s="100"/>
      <c r="O276" s="101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  <c r="N277" s="100"/>
      <c r="O277" s="101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  <c r="N278" s="100"/>
      <c r="O278" s="101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  <c r="N279" s="100"/>
      <c r="O279" s="101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  <c r="N280" s="100"/>
      <c r="O280" s="101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  <c r="N281" s="100"/>
      <c r="O281" s="101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  <c r="N282" s="100"/>
      <c r="O282" s="101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  <c r="N283" s="100"/>
      <c r="O283" s="101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  <c r="N284" s="100"/>
      <c r="O284" s="101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  <c r="N285" s="100"/>
      <c r="O285" s="101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  <c r="N286" s="100"/>
      <c r="O286" s="101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  <c r="N287" s="100"/>
      <c r="O287" s="101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  <c r="N288" s="100"/>
      <c r="O288" s="101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  <c r="N289" s="100"/>
      <c r="O289" s="101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  <c r="N290" s="100"/>
      <c r="O290" s="101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  <c r="N291" s="100"/>
      <c r="O291" s="101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  <c r="N292" s="100"/>
      <c r="O292" s="101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  <c r="N293" s="100"/>
      <c r="O293" s="101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  <c r="N294" s="100"/>
      <c r="O294" s="101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  <c r="N295" s="100"/>
      <c r="O295" s="101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  <c r="N296" s="100"/>
      <c r="O296" s="101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  <c r="N297" s="100"/>
      <c r="O297" s="101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  <c r="N298" s="100"/>
      <c r="O298" s="101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  <c r="N299" s="100"/>
      <c r="O299" s="101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  <c r="N300" s="100"/>
      <c r="O300" s="101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  <c r="N301" s="100"/>
      <c r="O301" s="101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  <c r="N302" s="100"/>
      <c r="O302" s="101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  <c r="N303" s="100"/>
      <c r="O303" s="101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  <c r="N304" s="100"/>
      <c r="O304" s="101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  <c r="N305" s="100"/>
      <c r="O305" s="101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  <c r="N306" s="100"/>
      <c r="O306" s="101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  <c r="N307" s="100"/>
      <c r="O307" s="101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  <c r="N308" s="100"/>
      <c r="O308" s="101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  <c r="N309" s="100"/>
      <c r="O309" s="101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  <c r="N310" s="100"/>
      <c r="O310" s="101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  <c r="N311" s="100"/>
      <c r="O311" s="101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  <c r="N312" s="100"/>
      <c r="O312" s="101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  <c r="N313" s="100"/>
      <c r="O313" s="101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  <c r="N314" s="100"/>
      <c r="O314" s="101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  <c r="N315" s="100"/>
      <c r="O315" s="101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  <c r="N316" s="100"/>
      <c r="O316" s="101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  <c r="N317" s="100"/>
      <c r="O317" s="101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  <c r="N318" s="100"/>
      <c r="O318" s="101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  <c r="N319" s="100"/>
      <c r="O319" s="101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  <c r="N320" s="100"/>
      <c r="O320" s="101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  <c r="N321" s="100"/>
      <c r="O321" s="101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  <c r="N322" s="100"/>
      <c r="O322" s="101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  <c r="N323" s="100"/>
      <c r="O323" s="101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  <c r="N324" s="100"/>
      <c r="O324" s="101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  <c r="N325" s="100"/>
      <c r="O325" s="101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  <c r="N326" s="100"/>
      <c r="O326" s="101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  <c r="N327" s="100"/>
      <c r="O327" s="101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  <c r="N328" s="100"/>
      <c r="O328" s="101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  <c r="N329" s="100"/>
      <c r="O329" s="101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  <c r="N330" s="100"/>
      <c r="O330" s="101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  <c r="N331" s="100"/>
      <c r="O331" s="101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  <c r="N332" s="100"/>
      <c r="O332" s="101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  <c r="N333" s="100"/>
      <c r="O333" s="101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  <c r="N334" s="100"/>
      <c r="O334" s="101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  <c r="N335" s="100"/>
      <c r="O335" s="101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  <c r="N336" s="100"/>
      <c r="O336" s="101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  <c r="N337" s="100"/>
      <c r="O337" s="101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  <c r="N338" s="100"/>
      <c r="O338" s="101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  <c r="N339" s="100"/>
      <c r="O339" s="101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  <c r="N340" s="100"/>
      <c r="O340" s="101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  <c r="N341" s="100"/>
      <c r="O341" s="101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  <c r="N342" s="100"/>
      <c r="O342" s="101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  <c r="N343" s="100"/>
      <c r="O343" s="101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  <c r="N344" s="100"/>
      <c r="O344" s="101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  <c r="N345" s="100"/>
      <c r="O345" s="101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  <c r="N346" s="100"/>
      <c r="O346" s="101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  <c r="N347" s="100"/>
      <c r="O347" s="101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  <c r="N348" s="100"/>
      <c r="O348" s="101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  <c r="N349" s="100"/>
      <c r="O349" s="101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  <c r="N350" s="100"/>
      <c r="O350" s="101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  <c r="N351" s="100"/>
      <c r="O351" s="101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  <c r="N352" s="100"/>
      <c r="O352" s="101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  <c r="N353" s="100"/>
      <c r="O353" s="101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  <c r="N354" s="100"/>
      <c r="O354" s="101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  <c r="N355" s="100"/>
      <c r="O355" s="101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  <c r="N356" s="100"/>
      <c r="O356" s="101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  <c r="N357" s="100"/>
      <c r="O357" s="101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  <c r="N358" s="100"/>
      <c r="O358" s="101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  <c r="N359" s="100"/>
      <c r="O359" s="101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  <c r="N360" s="100"/>
      <c r="O360" s="101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  <c r="N361" s="100"/>
      <c r="O361" s="101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  <c r="N362" s="100"/>
      <c r="O362" s="101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  <c r="N363" s="100"/>
      <c r="O363" s="101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  <c r="N364" s="100"/>
      <c r="O364" s="101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  <c r="N365" s="100"/>
      <c r="O365" s="101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  <c r="N366" s="100"/>
      <c r="O366" s="101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  <c r="N367" s="100"/>
      <c r="O367" s="101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  <c r="N368" s="100"/>
      <c r="O368" s="101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  <c r="N369" s="100"/>
      <c r="O369" s="101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  <c r="N370" s="100"/>
      <c r="O370" s="101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  <c r="N371" s="100"/>
      <c r="O371" s="101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  <c r="N372" s="100"/>
      <c r="O372" s="101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  <c r="N373" s="100"/>
      <c r="O373" s="101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  <c r="N374" s="100"/>
      <c r="O374" s="101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  <c r="N375" s="100"/>
      <c r="O375" s="101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  <c r="N376" s="100"/>
      <c r="O376" s="101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  <c r="N377" s="100"/>
      <c r="O377" s="101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  <c r="N378" s="100"/>
      <c r="O378" s="101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  <c r="N379" s="100"/>
      <c r="O379" s="101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  <c r="N380" s="100"/>
      <c r="O380" s="101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  <c r="N381" s="100"/>
      <c r="O381" s="101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  <c r="N382" s="100"/>
      <c r="O382" s="101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  <c r="N383" s="100"/>
      <c r="O383" s="101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  <c r="N384" s="100"/>
      <c r="O384" s="101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  <c r="N385" s="100"/>
      <c r="O385" s="101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  <c r="N386" s="100"/>
      <c r="O386" s="101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  <c r="N387" s="100"/>
      <c r="O387" s="101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  <c r="N388" s="100"/>
      <c r="O388" s="101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  <c r="N389" s="100"/>
      <c r="O389" s="101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  <c r="N390" s="100"/>
      <c r="O390" s="101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  <c r="N391" s="100"/>
      <c r="O391" s="101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  <c r="N392" s="100"/>
      <c r="O392" s="101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  <c r="N393" s="100"/>
      <c r="O393" s="101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  <c r="N394" s="100"/>
      <c r="O394" s="101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  <c r="N395" s="100"/>
      <c r="O395" s="101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  <c r="N396" s="100"/>
      <c r="O396" s="101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  <c r="N397" s="100"/>
      <c r="O397" s="101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  <c r="N398" s="100"/>
      <c r="O398" s="101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  <c r="N399" s="100"/>
      <c r="O399" s="101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  <c r="N400" s="100"/>
      <c r="O400" s="101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  <c r="N401" s="100"/>
      <c r="O401" s="101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  <c r="N402" s="100"/>
      <c r="O402" s="101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  <c r="N403" s="100"/>
      <c r="O403" s="101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  <c r="N404" s="100"/>
      <c r="O404" s="101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  <c r="N405" s="100"/>
      <c r="O405" s="101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  <c r="N406" s="100"/>
      <c r="O406" s="101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  <c r="N407" s="100"/>
      <c r="O407" s="101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  <c r="N408" s="100"/>
      <c r="O408" s="101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  <c r="N409" s="100"/>
      <c r="O409" s="101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  <c r="N410" s="100"/>
      <c r="O410" s="101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  <c r="N411" s="100"/>
      <c r="O411" s="101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  <c r="N412" s="100"/>
      <c r="O412" s="101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  <c r="N413" s="100"/>
      <c r="O413" s="101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  <c r="N414" s="100"/>
      <c r="O414" s="101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  <c r="N415" s="100"/>
      <c r="O415" s="101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  <c r="N416" s="100"/>
      <c r="O416" s="101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  <c r="N417" s="100"/>
      <c r="O417" s="101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  <c r="N418" s="100"/>
      <c r="O418" s="101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  <c r="N419" s="100"/>
      <c r="O419" s="101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  <c r="N420" s="100"/>
      <c r="O420" s="101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  <c r="N421" s="100"/>
      <c r="O421" s="101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  <c r="N422" s="100"/>
      <c r="O422" s="101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  <c r="N423" s="100"/>
      <c r="O423" s="101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  <c r="N424" s="100"/>
      <c r="O424" s="101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  <c r="N425" s="100"/>
      <c r="O425" s="101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  <c r="N426" s="100"/>
      <c r="O426" s="101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  <c r="N427" s="100"/>
      <c r="O427" s="101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  <c r="N428" s="100"/>
      <c r="O428" s="101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  <c r="N429" s="100"/>
      <c r="O429" s="101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  <c r="N430" s="100"/>
      <c r="O430" s="101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  <c r="N431" s="100"/>
      <c r="O431" s="101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  <c r="N432" s="100"/>
      <c r="O432" s="101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  <c r="N433" s="100"/>
      <c r="O433" s="101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  <c r="N434" s="100"/>
      <c r="O434" s="101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  <c r="N435" s="100"/>
      <c r="O435" s="101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  <c r="N436" s="100"/>
      <c r="O436" s="101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  <c r="N437" s="100"/>
      <c r="O437" s="101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  <c r="N438" s="100"/>
      <c r="O438" s="101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  <c r="N439" s="100"/>
      <c r="O439" s="101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  <c r="N440" s="100"/>
      <c r="O440" s="101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  <c r="N441" s="100"/>
      <c r="O441" s="101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  <c r="N442" s="100"/>
      <c r="O442" s="101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  <c r="N443" s="100"/>
      <c r="O443" s="101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  <c r="N444" s="100"/>
      <c r="O444" s="101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  <c r="N445" s="100"/>
      <c r="O445" s="101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  <c r="N446" s="100"/>
      <c r="O446" s="101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  <c r="N447" s="100"/>
      <c r="O447" s="101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  <c r="N448" s="100"/>
      <c r="O448" s="101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  <c r="N449" s="100"/>
      <c r="O449" s="101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  <c r="N450" s="100"/>
      <c r="O450" s="101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  <c r="N451" s="100"/>
      <c r="O451" s="101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  <c r="N452" s="100"/>
      <c r="O452" s="101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  <c r="N453" s="100"/>
      <c r="O453" s="101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  <c r="N454" s="100"/>
      <c r="O454" s="101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  <c r="N455" s="100"/>
      <c r="O455" s="101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  <c r="N456" s="100"/>
      <c r="O456" s="101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  <c r="N457" s="100"/>
      <c r="O457" s="101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  <c r="N458" s="100"/>
      <c r="O458" s="101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  <c r="N459" s="100"/>
      <c r="O459" s="101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  <c r="N460" s="100"/>
      <c r="O460" s="101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  <c r="N461" s="100"/>
      <c r="O461" s="101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  <c r="N462" s="100"/>
      <c r="O462" s="101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  <c r="N463" s="100"/>
      <c r="O463" s="101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  <c r="N464" s="100"/>
      <c r="O464" s="101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  <c r="N465" s="100"/>
      <c r="O465" s="101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  <c r="N466" s="100"/>
      <c r="O466" s="101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  <c r="N467" s="100"/>
      <c r="O467" s="101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  <c r="N468" s="100"/>
      <c r="O468" s="101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  <c r="N469" s="100"/>
      <c r="O469" s="101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  <c r="N470" s="100"/>
      <c r="O470" s="101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  <c r="N471" s="100"/>
      <c r="O471" s="101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  <c r="N472" s="100"/>
      <c r="O472" s="101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  <c r="N473" s="100"/>
      <c r="O473" s="101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  <c r="N474" s="100"/>
      <c r="O474" s="101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  <c r="N475" s="100"/>
      <c r="O475" s="101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  <c r="N476" s="100"/>
      <c r="O476" s="101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  <c r="N477" s="100"/>
      <c r="O477" s="101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  <c r="N478" s="100"/>
      <c r="O478" s="101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  <c r="N479" s="100"/>
      <c r="O479" s="101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  <c r="N480" s="100"/>
      <c r="O480" s="101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  <c r="N481" s="100"/>
      <c r="O481" s="101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  <c r="N482" s="100"/>
      <c r="O482" s="101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  <c r="N483" s="100"/>
      <c r="O483" s="101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  <c r="N484" s="100"/>
      <c r="O484" s="101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  <c r="N485" s="100"/>
      <c r="O485" s="101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  <c r="N486" s="100"/>
      <c r="O486" s="101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  <c r="N487" s="100"/>
      <c r="O487" s="101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  <c r="N488" s="100"/>
      <c r="O488" s="101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  <c r="N489" s="100"/>
      <c r="O489" s="101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  <c r="N490" s="100"/>
      <c r="O490" s="101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  <c r="N491" s="100"/>
      <c r="O491" s="101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  <c r="N492" s="100"/>
      <c r="O492" s="101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  <c r="N493" s="100"/>
      <c r="O493" s="101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  <c r="N494" s="100"/>
      <c r="O494" s="101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  <c r="N495" s="100"/>
      <c r="O495" s="101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  <c r="N496" s="100"/>
      <c r="O496" s="101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  <c r="N497" s="100"/>
      <c r="O497" s="101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  <c r="N498" s="100"/>
      <c r="O498" s="101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  <c r="N499" s="100"/>
      <c r="O499" s="101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  <c r="N500" s="100"/>
      <c r="O500" s="101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  <c r="N501" s="100"/>
      <c r="O501" s="101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  <c r="N502" s="100"/>
      <c r="O502" s="101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  <c r="N503" s="100"/>
      <c r="O503" s="101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  <c r="N504" s="100"/>
      <c r="O504" s="101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  <c r="N505" s="100"/>
      <c r="O505" s="101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  <c r="N506" s="100"/>
      <c r="O506" s="101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  <c r="N507" s="100"/>
      <c r="O507" s="101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  <c r="N508" s="100"/>
      <c r="O508" s="101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  <c r="N509" s="100"/>
      <c r="O509" s="101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  <c r="N510" s="100"/>
      <c r="O510" s="101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  <c r="N511" s="100"/>
      <c r="O511" s="101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  <c r="N512" s="100"/>
      <c r="O512" s="101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  <c r="N513" s="100"/>
      <c r="O513" s="101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  <c r="N514" s="100"/>
      <c r="O514" s="101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  <c r="N515" s="100"/>
      <c r="O515" s="101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  <c r="N516" s="100"/>
      <c r="O516" s="101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  <c r="N517" s="100"/>
      <c r="O517" s="101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  <c r="N518" s="100"/>
      <c r="O518" s="101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  <c r="N519" s="100"/>
      <c r="O519" s="101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  <c r="N520" s="100"/>
      <c r="O520" s="101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  <c r="N521" s="100"/>
      <c r="O521" s="101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  <c r="N522" s="100"/>
      <c r="O522" s="101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  <c r="N523" s="100"/>
      <c r="O523" s="101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  <c r="N524" s="100"/>
      <c r="O524" s="101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  <c r="N525" s="100"/>
      <c r="O525" s="101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  <c r="N526" s="100"/>
      <c r="O526" s="101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  <c r="N527" s="100"/>
      <c r="O527" s="101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  <c r="N528" s="100"/>
      <c r="O528" s="101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  <c r="N529" s="100"/>
      <c r="O529" s="101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  <c r="N530" s="100"/>
      <c r="O530" s="101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  <c r="N531" s="100"/>
      <c r="O531" s="101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  <c r="N532" s="100"/>
      <c r="O532" s="101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  <c r="N533" s="100"/>
      <c r="O533" s="101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  <c r="N534" s="100"/>
      <c r="O534" s="101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  <c r="N535" s="100"/>
      <c r="O535" s="101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  <c r="N536" s="100"/>
      <c r="O536" s="101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  <c r="N537" s="100"/>
      <c r="O537" s="101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  <c r="N538" s="100"/>
      <c r="O538" s="101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  <c r="N539" s="100"/>
      <c r="O539" s="101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  <c r="N540" s="100"/>
      <c r="O540" s="101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  <c r="N541" s="100"/>
      <c r="O541" s="101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  <c r="N542" s="100"/>
      <c r="O542" s="101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  <c r="N543" s="100"/>
      <c r="O543" s="101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  <c r="N544" s="100"/>
      <c r="O544" s="101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  <c r="N545" s="100"/>
      <c r="O545" s="101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  <c r="N546" s="100"/>
      <c r="O546" s="101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  <c r="N547" s="100"/>
      <c r="O547" s="101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  <c r="N548" s="100"/>
      <c r="O548" s="101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  <c r="N549" s="100"/>
      <c r="O549" s="101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  <c r="N550" s="100"/>
      <c r="O550" s="101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  <c r="N551" s="100"/>
      <c r="O551" s="101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  <c r="N552" s="100"/>
      <c r="O552" s="101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  <c r="N553" s="100"/>
      <c r="O553" s="101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  <c r="N554" s="100"/>
      <c r="O554" s="101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  <c r="N555" s="100"/>
      <c r="O555" s="101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  <c r="N556" s="100"/>
      <c r="O556" s="101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  <c r="N557" s="100"/>
      <c r="O557" s="101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  <c r="N558" s="100"/>
      <c r="O558" s="101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  <c r="N559" s="100"/>
      <c r="O559" s="101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  <c r="N560" s="100"/>
      <c r="O560" s="101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  <c r="N561" s="100"/>
      <c r="O561" s="101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  <c r="N562" s="100"/>
      <c r="O562" s="101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  <c r="N563" s="100"/>
      <c r="O563" s="101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  <c r="N564" s="100"/>
      <c r="O564" s="101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  <c r="N565" s="100"/>
      <c r="O565" s="101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  <c r="N566" s="100"/>
      <c r="O566" s="101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  <c r="N567" s="100"/>
      <c r="O567" s="101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  <c r="N568" s="100"/>
      <c r="O568" s="101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  <c r="N569" s="100"/>
      <c r="O569" s="101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  <c r="N570" s="100"/>
      <c r="O570" s="101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  <c r="N571" s="100"/>
      <c r="O571" s="101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  <c r="N572" s="100"/>
      <c r="O572" s="101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  <c r="N573" s="100"/>
      <c r="O573" s="101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  <c r="N574" s="100"/>
      <c r="O574" s="101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  <c r="N575" s="100"/>
      <c r="O575" s="101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  <c r="N576" s="100"/>
      <c r="O576" s="101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  <c r="N577" s="100"/>
      <c r="O577" s="101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  <c r="N578" s="100"/>
      <c r="O578" s="101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  <c r="N579" s="100"/>
      <c r="O579" s="101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  <c r="N580" s="100"/>
      <c r="O580" s="101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  <c r="N581" s="100"/>
      <c r="O581" s="101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  <c r="N582" s="100"/>
      <c r="O582" s="101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  <c r="N583" s="100"/>
      <c r="O583" s="101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  <c r="N584" s="100"/>
      <c r="O584" s="101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  <c r="N585" s="100"/>
      <c r="O585" s="101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  <c r="N586" s="100"/>
      <c r="O586" s="101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  <c r="N587" s="100"/>
      <c r="O587" s="101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  <c r="N588" s="100"/>
      <c r="O588" s="101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  <c r="N589" s="100"/>
      <c r="O589" s="101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  <c r="N590" s="100"/>
      <c r="O590" s="101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  <c r="N591" s="100"/>
      <c r="O591" s="101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  <c r="N592" s="100"/>
      <c r="O592" s="101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  <c r="N593" s="100"/>
      <c r="O593" s="101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  <c r="N594" s="100"/>
      <c r="O594" s="101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  <c r="N595" s="100"/>
      <c r="O595" s="101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  <c r="N596" s="100"/>
      <c r="O596" s="101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  <c r="N597" s="100"/>
      <c r="O597" s="101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  <c r="N598" s="100"/>
      <c r="O598" s="101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  <c r="N599" s="100"/>
      <c r="O599" s="101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  <c r="N600" s="100"/>
      <c r="O600" s="101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  <c r="N601" s="100"/>
      <c r="O601" s="101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  <c r="N602" s="100"/>
      <c r="O602" s="101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  <c r="N603" s="100"/>
      <c r="O603" s="101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  <c r="N604" s="100"/>
      <c r="O604" s="101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  <c r="N605" s="100"/>
      <c r="O605" s="101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  <c r="N606" s="100"/>
      <c r="O606" s="101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  <c r="N607" s="100"/>
      <c r="O607" s="101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  <c r="N608" s="100"/>
      <c r="O608" s="101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  <c r="N609" s="100"/>
      <c r="O609" s="101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  <c r="N610" s="100"/>
      <c r="O610" s="101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  <c r="N611" s="100"/>
      <c r="O611" s="101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  <c r="N612" s="100"/>
      <c r="O612" s="101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  <c r="N613" s="100"/>
      <c r="O613" s="101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  <c r="N614" s="100"/>
      <c r="O614" s="101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  <c r="N615" s="100"/>
      <c r="O615" s="101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  <c r="N616" s="100"/>
      <c r="O616" s="101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  <c r="N617" s="100"/>
      <c r="O617" s="101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  <c r="N618" s="100"/>
      <c r="O618" s="101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  <c r="N619" s="100"/>
      <c r="O619" s="101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  <c r="N620" s="100"/>
      <c r="O620" s="101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  <c r="N621" s="100"/>
      <c r="O621" s="101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  <c r="N622" s="100"/>
      <c r="O622" s="101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  <c r="N623" s="100"/>
      <c r="O623" s="101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  <c r="N624" s="100"/>
      <c r="O624" s="101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  <c r="N625" s="100"/>
      <c r="O625" s="101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  <c r="N626" s="100"/>
      <c r="O626" s="101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  <c r="N627" s="100"/>
      <c r="O627" s="101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  <c r="N628" s="100"/>
      <c r="O628" s="101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  <c r="N629" s="100"/>
      <c r="O629" s="101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  <c r="N630" s="100"/>
      <c r="O630" s="101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  <c r="N631" s="100"/>
      <c r="O631" s="101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  <c r="N632" s="100"/>
      <c r="O632" s="101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  <c r="N633" s="100"/>
      <c r="O633" s="101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  <c r="N634" s="100"/>
      <c r="O634" s="101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  <c r="N635" s="100"/>
      <c r="O635" s="101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  <c r="N636" s="100"/>
      <c r="O636" s="101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  <c r="N637" s="100"/>
      <c r="O637" s="101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  <c r="N638" s="100"/>
      <c r="O638" s="101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  <c r="N639" s="100"/>
      <c r="O639" s="101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  <c r="N640" s="100"/>
      <c r="O640" s="101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  <c r="N641" s="100"/>
      <c r="O641" s="101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  <c r="N642" s="100"/>
      <c r="O642" s="101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  <c r="N643" s="100"/>
      <c r="O643" s="101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  <c r="N644" s="100"/>
      <c r="O644" s="101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  <c r="N645" s="100"/>
      <c r="O645" s="101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  <c r="N646" s="100"/>
      <c r="O646" s="101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  <c r="N647" s="100"/>
      <c r="O647" s="101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  <c r="N648" s="100"/>
      <c r="O648" s="101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  <c r="N649" s="100"/>
      <c r="O649" s="101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  <c r="N650" s="100"/>
      <c r="O650" s="101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  <c r="N651" s="100"/>
      <c r="O651" s="101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  <c r="N652" s="100"/>
      <c r="O652" s="101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  <c r="N653" s="100"/>
      <c r="O653" s="101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  <c r="N654" s="100"/>
      <c r="O654" s="101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  <c r="N655" s="100"/>
      <c r="O655" s="101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  <c r="N656" s="100"/>
      <c r="O656" s="101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  <c r="N657" s="100"/>
      <c r="O657" s="101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  <c r="N658" s="100"/>
      <c r="O658" s="101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  <c r="N659" s="100"/>
      <c r="O659" s="101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  <c r="N660" s="100"/>
      <c r="O660" s="101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  <c r="N661" s="100"/>
      <c r="O661" s="101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  <c r="N662" s="100"/>
      <c r="O662" s="101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  <c r="N663" s="100"/>
      <c r="O663" s="101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  <c r="N664" s="100"/>
      <c r="O664" s="101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  <c r="N665" s="100"/>
      <c r="O665" s="101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  <c r="N666" s="100"/>
      <c r="O666" s="101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  <c r="N667" s="100"/>
      <c r="O667" s="101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  <c r="N668" s="100"/>
      <c r="O668" s="101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  <c r="N669" s="100"/>
      <c r="O669" s="101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  <c r="N670" s="100"/>
      <c r="O670" s="101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  <c r="N671" s="100"/>
      <c r="O671" s="101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  <c r="N672" s="100"/>
      <c r="O672" s="101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  <c r="N673" s="100"/>
      <c r="O673" s="101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  <c r="N674" s="100"/>
      <c r="O674" s="101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  <c r="N675" s="100"/>
      <c r="O675" s="101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  <c r="N676" s="100"/>
      <c r="O676" s="101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  <c r="N677" s="100"/>
      <c r="O677" s="101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  <c r="N678" s="100"/>
      <c r="O678" s="101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  <c r="N679" s="100"/>
      <c r="O679" s="101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  <c r="N680" s="100"/>
      <c r="O680" s="101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  <c r="N681" s="100"/>
      <c r="O681" s="101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  <c r="N682" s="100"/>
      <c r="O682" s="101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  <c r="N683" s="100"/>
      <c r="O683" s="101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  <c r="N684" s="100"/>
      <c r="O684" s="101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  <c r="N685" s="100"/>
      <c r="O685" s="101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  <c r="N686" s="100"/>
      <c r="O686" s="101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  <c r="N687" s="100"/>
      <c r="O687" s="101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  <c r="N688" s="100"/>
      <c r="O688" s="101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  <c r="N689" s="100"/>
      <c r="O689" s="101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  <c r="N690" s="100"/>
      <c r="O690" s="101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  <c r="N691" s="100"/>
      <c r="O691" s="101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  <c r="N692" s="100"/>
      <c r="O692" s="101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  <c r="N693" s="100"/>
      <c r="O693" s="101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  <c r="N694" s="100"/>
      <c r="O694" s="101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  <c r="N695" s="100"/>
      <c r="O695" s="101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  <c r="N696" s="100"/>
      <c r="O696" s="101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  <c r="N697" s="100"/>
      <c r="O697" s="101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  <c r="N698" s="100"/>
      <c r="O698" s="101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  <c r="N699" s="100"/>
      <c r="O699" s="101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  <c r="N700" s="100"/>
      <c r="O700" s="101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  <c r="N701" s="100"/>
      <c r="O701" s="101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  <c r="N702" s="100"/>
      <c r="O702" s="101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  <c r="N703" s="100"/>
      <c r="O703" s="101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  <c r="N704" s="100"/>
      <c r="O704" s="101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  <c r="N705" s="100"/>
      <c r="O705" s="101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  <c r="N706" s="100"/>
      <c r="O706" s="101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  <c r="N707" s="100"/>
      <c r="O707" s="101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  <c r="N708" s="100"/>
      <c r="O708" s="101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  <c r="N709" s="100"/>
      <c r="O709" s="101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  <c r="N710" s="100"/>
      <c r="O710" s="101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  <c r="N711" s="100"/>
      <c r="O711" s="101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  <c r="N712" s="100"/>
      <c r="O712" s="101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  <c r="N713" s="100"/>
      <c r="O713" s="101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  <c r="N714" s="100"/>
      <c r="O714" s="101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  <c r="N715" s="100"/>
      <c r="O715" s="101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  <c r="N716" s="100"/>
      <c r="O716" s="101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  <c r="N717" s="100"/>
      <c r="O717" s="101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  <c r="N718" s="100"/>
      <c r="O718" s="101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  <c r="N719" s="100"/>
      <c r="O719" s="101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  <c r="N720" s="100"/>
      <c r="O720" s="101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  <c r="N721" s="100"/>
      <c r="O721" s="101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  <c r="N722" s="100"/>
      <c r="O722" s="101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  <c r="N723" s="100"/>
      <c r="O723" s="101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  <c r="N724" s="100"/>
      <c r="O724" s="101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  <c r="N725" s="100"/>
      <c r="O725" s="101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  <c r="N726" s="100"/>
      <c r="O726" s="101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  <c r="N727" s="100"/>
      <c r="O727" s="101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  <c r="N728" s="100"/>
      <c r="O728" s="101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  <c r="N729" s="100"/>
      <c r="O729" s="101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  <c r="N730" s="100"/>
      <c r="O730" s="101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  <c r="N731" s="100"/>
      <c r="O731" s="101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  <c r="N732" s="100"/>
      <c r="O732" s="101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  <c r="N733" s="100"/>
      <c r="O733" s="101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  <c r="N734" s="100"/>
      <c r="O734" s="101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  <c r="N735" s="100"/>
      <c r="O735" s="101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  <c r="N736" s="100"/>
      <c r="O736" s="101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  <c r="N737" s="100"/>
      <c r="O737" s="101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  <c r="N738" s="100"/>
      <c r="O738" s="101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  <c r="N739" s="100"/>
      <c r="O739" s="101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  <c r="N740" s="100"/>
      <c r="O740" s="101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  <c r="N741" s="100"/>
      <c r="O741" s="101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  <c r="N742" s="100"/>
      <c r="O742" s="101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  <c r="N743" s="100"/>
      <c r="O743" s="101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  <c r="N744" s="100"/>
      <c r="O744" s="101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  <c r="N745" s="100"/>
      <c r="O745" s="101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  <c r="N746" s="100"/>
      <c r="O746" s="101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  <c r="N747" s="100"/>
      <c r="O747" s="101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  <c r="N748" s="100"/>
      <c r="O748" s="101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  <c r="N749" s="100"/>
      <c r="O749" s="101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  <c r="N750" s="100"/>
      <c r="O750" s="101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  <c r="N751" s="100"/>
      <c r="O751" s="101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  <c r="N752" s="100"/>
      <c r="O752" s="101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  <c r="N753" s="100"/>
      <c r="O753" s="101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  <c r="N754" s="100"/>
      <c r="O754" s="101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  <c r="N755" s="100"/>
      <c r="O755" s="101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  <c r="N756" s="100"/>
      <c r="O756" s="101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  <c r="N757" s="100"/>
      <c r="O757" s="101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  <c r="N758" s="100"/>
      <c r="O758" s="101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  <c r="N759" s="100"/>
      <c r="O759" s="101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  <c r="N760" s="100"/>
      <c r="O760" s="101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  <c r="N761" s="100"/>
      <c r="O761" s="101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  <c r="N762" s="100"/>
      <c r="O762" s="101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  <c r="N763" s="100"/>
      <c r="O763" s="101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  <c r="N764" s="100"/>
      <c r="O764" s="101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  <c r="N765" s="100"/>
      <c r="O765" s="101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  <c r="N766" s="100"/>
      <c r="O766" s="101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  <c r="N767" s="100"/>
      <c r="O767" s="101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  <c r="N768" s="100"/>
      <c r="O768" s="101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  <c r="N769" s="100"/>
      <c r="O769" s="101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  <c r="N770" s="100"/>
      <c r="O770" s="101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  <c r="N771" s="100"/>
      <c r="O771" s="101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  <c r="N772" s="100"/>
      <c r="O772" s="101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  <c r="N773" s="100"/>
      <c r="O773" s="101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  <c r="N774" s="100"/>
      <c r="O774" s="101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  <c r="N775" s="100"/>
      <c r="O775" s="101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  <c r="N776" s="100"/>
      <c r="O776" s="101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  <c r="N777" s="100"/>
      <c r="O777" s="101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  <c r="N778" s="100"/>
      <c r="O778" s="101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  <c r="N779" s="100"/>
      <c r="O779" s="101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  <c r="N780" s="100"/>
      <c r="O780" s="101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  <c r="N781" s="100"/>
      <c r="O781" s="101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  <c r="N782" s="100"/>
      <c r="O782" s="101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  <c r="N783" s="100"/>
      <c r="O783" s="101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  <c r="N784" s="100"/>
      <c r="O784" s="101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  <c r="N785" s="100"/>
      <c r="O785" s="101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  <c r="N786" s="100"/>
      <c r="O786" s="101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  <c r="N787" s="100"/>
      <c r="O787" s="101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  <c r="N788" s="100"/>
      <c r="O788" s="101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  <c r="N789" s="100"/>
      <c r="O789" s="101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  <c r="N790" s="100"/>
      <c r="O790" s="101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  <c r="N791" s="100"/>
      <c r="O791" s="101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  <c r="N792" s="100"/>
      <c r="O792" s="101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  <c r="N793" s="100"/>
      <c r="O793" s="101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  <c r="N794" s="100"/>
      <c r="O794" s="101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  <c r="N795" s="100"/>
      <c r="O795" s="101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  <c r="N796" s="100"/>
      <c r="O796" s="101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  <c r="N797" s="100"/>
      <c r="O797" s="101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  <c r="N798" s="100"/>
      <c r="O798" s="101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  <c r="N799" s="100"/>
      <c r="O799" s="101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  <c r="N800" s="100"/>
      <c r="O800" s="101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  <c r="N801" s="100"/>
      <c r="O801" s="101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  <c r="N802" s="100"/>
      <c r="O802" s="101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  <c r="N803" s="100"/>
      <c r="O803" s="101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  <c r="N804" s="100"/>
      <c r="O804" s="101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  <c r="N805" s="100"/>
      <c r="O805" s="101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  <c r="N806" s="100"/>
      <c r="O806" s="101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  <c r="N807" s="100"/>
      <c r="O807" s="101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  <c r="N808" s="100"/>
      <c r="O808" s="101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  <c r="N809" s="100"/>
      <c r="O809" s="101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  <c r="N810" s="100"/>
      <c r="O810" s="101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  <c r="N811" s="100"/>
      <c r="O811" s="101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  <c r="N812" s="100"/>
      <c r="O812" s="101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  <c r="N813" s="100"/>
      <c r="O813" s="101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  <c r="N814" s="100"/>
      <c r="O814" s="101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  <c r="N815" s="100"/>
      <c r="O815" s="101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  <c r="N816" s="100"/>
      <c r="O816" s="101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  <c r="N817" s="100"/>
      <c r="O817" s="101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  <c r="N818" s="100"/>
      <c r="O818" s="101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  <c r="N819" s="100"/>
      <c r="O819" s="101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  <c r="N820" s="100"/>
      <c r="O820" s="101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  <c r="N821" s="100"/>
      <c r="O821" s="101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  <c r="N822" s="100"/>
      <c r="O822" s="101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  <c r="N823" s="100"/>
      <c r="O823" s="101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  <c r="N824" s="100"/>
      <c r="O824" s="101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  <c r="N825" s="100"/>
      <c r="O825" s="101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  <c r="N826" s="100"/>
      <c r="O826" s="101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  <c r="N827" s="100"/>
      <c r="O827" s="101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  <c r="N828" s="100"/>
      <c r="O828" s="101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  <c r="N829" s="100"/>
      <c r="O829" s="101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  <c r="N830" s="100"/>
      <c r="O830" s="101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  <c r="N831" s="100"/>
      <c r="O831" s="101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  <c r="N832" s="100"/>
      <c r="O832" s="101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  <c r="N833" s="100"/>
      <c r="O833" s="101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  <c r="N834" s="100"/>
      <c r="O834" s="101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  <c r="N835" s="100"/>
      <c r="O835" s="101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  <c r="N836" s="100"/>
      <c r="O836" s="101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  <c r="N837" s="100"/>
      <c r="O837" s="101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  <c r="N838" s="100"/>
      <c r="O838" s="101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  <c r="N839" s="100"/>
      <c r="O839" s="101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  <c r="N840" s="100"/>
      <c r="O840" s="101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  <c r="N841" s="100"/>
      <c r="O841" s="101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  <c r="N842" s="100"/>
      <c r="O842" s="101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  <c r="N843" s="100"/>
      <c r="O843" s="101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  <c r="N844" s="100"/>
      <c r="O844" s="101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  <c r="N845" s="100"/>
      <c r="O845" s="101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  <c r="N846" s="100"/>
      <c r="O846" s="101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  <c r="N847" s="100"/>
      <c r="O847" s="101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  <c r="N848" s="100"/>
      <c r="O848" s="101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  <c r="N849" s="100"/>
      <c r="O849" s="101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  <c r="N850" s="100"/>
      <c r="O850" s="101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  <c r="N851" s="100"/>
      <c r="O851" s="101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  <c r="N852" s="100"/>
      <c r="O852" s="101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  <c r="N853" s="100"/>
      <c r="O853" s="101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  <c r="N854" s="100"/>
      <c r="O854" s="101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  <c r="N855" s="100"/>
      <c r="O855" s="101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  <c r="N856" s="100"/>
      <c r="O856" s="101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  <c r="N857" s="100"/>
      <c r="O857" s="101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  <c r="N858" s="100"/>
      <c r="O858" s="101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  <c r="N859" s="100"/>
      <c r="O859" s="101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  <c r="N860" s="100"/>
      <c r="O860" s="101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  <c r="N861" s="100"/>
      <c r="O861" s="101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  <c r="N862" s="100"/>
      <c r="O862" s="101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  <c r="N863" s="100"/>
      <c r="O863" s="101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  <c r="N864" s="100"/>
      <c r="O864" s="101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  <c r="N865" s="100"/>
      <c r="O865" s="101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  <c r="N866" s="100"/>
      <c r="O866" s="101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  <c r="N867" s="100"/>
      <c r="O867" s="101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  <c r="N868" s="100"/>
      <c r="O868" s="101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  <c r="N869" s="100"/>
      <c r="O869" s="101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  <c r="N870" s="100"/>
      <c r="O870" s="101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  <c r="N871" s="100"/>
      <c r="O871" s="101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  <c r="N872" s="100"/>
      <c r="O872" s="101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  <c r="N873" s="100"/>
      <c r="O873" s="101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  <c r="N874" s="100"/>
      <c r="O874" s="101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  <c r="N875" s="100"/>
      <c r="O875" s="101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  <c r="N876" s="100"/>
      <c r="O876" s="101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  <c r="N877" s="100"/>
      <c r="O877" s="101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  <c r="N878" s="100"/>
      <c r="O878" s="101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  <c r="N879" s="100"/>
      <c r="O879" s="101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  <c r="N880" s="100"/>
      <c r="O880" s="101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  <c r="N881" s="100"/>
      <c r="O881" s="101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  <c r="N882" s="100"/>
      <c r="O882" s="101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  <c r="N883" s="100"/>
      <c r="O883" s="101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  <c r="N884" s="100"/>
      <c r="O884" s="101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  <c r="N885" s="100"/>
      <c r="O885" s="101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  <c r="N886" s="100"/>
      <c r="O886" s="101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  <c r="N887" s="100"/>
      <c r="O887" s="101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  <c r="N888" s="100"/>
      <c r="O888" s="101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  <c r="N889" s="100"/>
      <c r="O889" s="101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  <c r="N890" s="100"/>
      <c r="O890" s="101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  <c r="N891" s="100"/>
      <c r="O891" s="101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  <c r="N892" s="100"/>
      <c r="O892" s="101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  <c r="N893" s="100"/>
      <c r="O893" s="101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  <c r="N894" s="100"/>
      <c r="O894" s="101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  <c r="N895" s="100"/>
      <c r="O895" s="101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  <c r="N896" s="100"/>
      <c r="O896" s="101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  <c r="N897" s="100"/>
      <c r="O897" s="101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  <c r="N898" s="100"/>
      <c r="O898" s="101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  <c r="N899" s="100"/>
      <c r="O899" s="101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  <c r="N900" s="100"/>
      <c r="O900" s="101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  <c r="N901" s="100"/>
      <c r="O901" s="101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  <c r="N902" s="100"/>
      <c r="O902" s="101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  <c r="N903" s="100"/>
      <c r="O903" s="101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  <c r="N904" s="100"/>
      <c r="O904" s="101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  <c r="N905" s="100"/>
      <c r="O905" s="101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  <c r="N906" s="100"/>
      <c r="O906" s="101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  <c r="N907" s="100"/>
      <c r="O907" s="101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  <c r="N908" s="100"/>
      <c r="O908" s="101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  <c r="N909" s="100"/>
      <c r="O909" s="101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  <c r="N910" s="100"/>
      <c r="O910" s="101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  <c r="N911" s="100"/>
      <c r="O911" s="101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  <c r="N912" s="100"/>
      <c r="O912" s="101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  <c r="N913" s="100"/>
      <c r="O913" s="101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  <c r="N914" s="100"/>
      <c r="O914" s="101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  <c r="N915" s="100"/>
      <c r="O915" s="101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  <c r="N916" s="100"/>
      <c r="O916" s="101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  <c r="N917" s="100"/>
      <c r="O917" s="101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  <c r="N918" s="100"/>
      <c r="O918" s="101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  <c r="N919" s="100"/>
      <c r="O919" s="101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  <c r="N920" s="100"/>
      <c r="O920" s="101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  <c r="N921" s="100"/>
      <c r="O921" s="101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  <c r="N922" s="100"/>
      <c r="O922" s="101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  <c r="N923" s="100"/>
      <c r="O923" s="101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  <c r="N924" s="100"/>
      <c r="O924" s="101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  <c r="N925" s="100"/>
      <c r="O925" s="101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  <c r="N926" s="100"/>
      <c r="O926" s="101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  <c r="N927" s="100"/>
      <c r="O927" s="101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  <c r="N928" s="100"/>
      <c r="O928" s="101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  <c r="N929" s="100"/>
      <c r="O929" s="101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  <c r="N930" s="100"/>
      <c r="O930" s="101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  <c r="N931" s="100"/>
      <c r="O931" s="101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  <c r="N932" s="100"/>
      <c r="O932" s="101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  <c r="N933" s="100"/>
      <c r="O933" s="101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  <c r="N934" s="100"/>
      <c r="O934" s="101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  <c r="N935" s="100"/>
      <c r="O935" s="101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  <c r="N936" s="100"/>
      <c r="O936" s="101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  <c r="N937" s="100"/>
      <c r="O937" s="101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  <c r="N938" s="100"/>
      <c r="O938" s="101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  <c r="N939" s="100"/>
      <c r="O939" s="101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  <c r="N940" s="100"/>
      <c r="O940" s="101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  <c r="N941" s="100"/>
      <c r="O941" s="101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  <c r="N942" s="100"/>
      <c r="O942" s="101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  <c r="N943" s="100"/>
      <c r="O943" s="101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  <c r="N944" s="100"/>
      <c r="O944" s="101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  <c r="N945" s="100"/>
      <c r="O945" s="101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  <c r="N946" s="100"/>
      <c r="O946" s="101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  <c r="N947" s="100"/>
      <c r="O947" s="101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  <c r="N948" s="100"/>
      <c r="O948" s="101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  <c r="N949" s="100"/>
      <c r="O949" s="101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  <c r="N950" s="100"/>
      <c r="O950" s="101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  <c r="N951" s="100"/>
      <c r="O951" s="101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  <c r="N952" s="100"/>
      <c r="O952" s="101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  <c r="N953" s="100"/>
      <c r="O953" s="101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  <c r="N954" s="100"/>
      <c r="O954" s="101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  <c r="N955" s="100"/>
      <c r="O955" s="101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  <c r="N956" s="100"/>
      <c r="O956" s="101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  <c r="N957" s="100"/>
      <c r="O957" s="101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  <c r="N958" s="100"/>
      <c r="O958" s="101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  <c r="N959" s="100"/>
      <c r="O959" s="101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  <c r="N960" s="100"/>
      <c r="O960" s="101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  <c r="N961" s="100"/>
      <c r="O961" s="101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  <c r="N962" s="100"/>
      <c r="O962" s="101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  <c r="N963" s="100"/>
      <c r="O963" s="101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  <c r="N964" s="100"/>
      <c r="O964" s="101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  <c r="N965" s="100"/>
      <c r="O965" s="101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  <c r="N966" s="100"/>
      <c r="O966" s="101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  <c r="N967" s="100"/>
      <c r="O967" s="101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  <c r="N968" s="100"/>
      <c r="O968" s="101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  <c r="N969" s="100"/>
      <c r="O969" s="101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  <c r="N970" s="100"/>
      <c r="O970" s="101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  <c r="N971" s="100"/>
      <c r="O971" s="101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  <c r="N972" s="100"/>
      <c r="O972" s="101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  <c r="N973" s="100"/>
      <c r="O973" s="101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  <c r="N974" s="100"/>
      <c r="O974" s="101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  <c r="N975" s="100"/>
      <c r="O975" s="101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  <c r="N976" s="100"/>
      <c r="O976" s="101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  <c r="N977" s="100"/>
      <c r="O977" s="101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  <c r="N978" s="100"/>
      <c r="O978" s="101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  <c r="N979" s="100"/>
      <c r="O979" s="101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  <c r="N980" s="100"/>
      <c r="O980" s="101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  <c r="N981" s="100"/>
      <c r="O981" s="101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  <c r="N982" s="100"/>
      <c r="O982" s="101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  <c r="N983" s="100"/>
      <c r="O983" s="101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  <c r="N984" s="100"/>
      <c r="O984" s="101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  <c r="N985" s="100"/>
      <c r="O985" s="101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  <c r="N986" s="100"/>
      <c r="O986" s="101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  <c r="N987" s="100"/>
      <c r="O987" s="101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  <c r="N988" s="100"/>
      <c r="O988" s="101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  <c r="N989" s="100"/>
      <c r="O989" s="101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  <c r="N990" s="100"/>
      <c r="O990" s="101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  <c r="N991" s="100"/>
      <c r="O991" s="101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  <c r="N992" s="100"/>
      <c r="O992" s="101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  <c r="N993" s="100"/>
      <c r="O993" s="101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  <c r="N994" s="100"/>
      <c r="O994" s="101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  <c r="N995" s="100"/>
      <c r="O995" s="101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  <c r="N996" s="100"/>
      <c r="O996" s="101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  <c r="N997" s="100"/>
      <c r="O997" s="101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  <c r="N998" s="100"/>
      <c r="O998" s="101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  <c r="N999" s="100"/>
      <c r="O999" s="101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  <c r="N1000" s="100"/>
      <c r="O1000" s="101"/>
    </row>
  </sheetData>
  <mergeCells count="87">
    <mergeCell ref="J7:J16"/>
    <mergeCell ref="J17:J19"/>
    <mergeCell ref="K17:K19"/>
    <mergeCell ref="J20:J24"/>
    <mergeCell ref="K20:K24"/>
    <mergeCell ref="J25:J34"/>
    <mergeCell ref="K25:K34"/>
    <mergeCell ref="K50:K52"/>
    <mergeCell ref="L50:L52"/>
    <mergeCell ref="M50:M52"/>
    <mergeCell ref="K53:L55"/>
    <mergeCell ref="M53:M55"/>
    <mergeCell ref="K56:L57"/>
    <mergeCell ref="M56:M57"/>
    <mergeCell ref="J35:J36"/>
    <mergeCell ref="K35:K36"/>
    <mergeCell ref="J37:J41"/>
    <mergeCell ref="K37:K41"/>
    <mergeCell ref="J42:J49"/>
    <mergeCell ref="K42:K49"/>
    <mergeCell ref="I50:I52"/>
    <mergeCell ref="J51:J52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12:D12"/>
    <mergeCell ref="C13:D13"/>
    <mergeCell ref="C6:D6"/>
    <mergeCell ref="B7:B16"/>
    <mergeCell ref="C7:D7"/>
    <mergeCell ref="K7:K16"/>
    <mergeCell ref="C8:D8"/>
    <mergeCell ref="C9:D9"/>
    <mergeCell ref="C16:D16"/>
    <mergeCell ref="B20:B24"/>
    <mergeCell ref="B25:B34"/>
    <mergeCell ref="B35:B36"/>
    <mergeCell ref="C31:D31"/>
    <mergeCell ref="C32:D32"/>
    <mergeCell ref="C33:D33"/>
    <mergeCell ref="C34:D34"/>
    <mergeCell ref="C35:D35"/>
    <mergeCell ref="C36:D36"/>
    <mergeCell ref="C20:D20"/>
    <mergeCell ref="C21:D21"/>
    <mergeCell ref="C25:D25"/>
    <mergeCell ref="C26:D26"/>
    <mergeCell ref="C27:D27"/>
    <mergeCell ref="C28:D28"/>
    <mergeCell ref="C29:D29"/>
    <mergeCell ref="C48:D48"/>
    <mergeCell ref="C49:D49"/>
    <mergeCell ref="B58:M58"/>
    <mergeCell ref="B37:B41"/>
    <mergeCell ref="C37:D37"/>
    <mergeCell ref="C38:D38"/>
    <mergeCell ref="C39:D39"/>
    <mergeCell ref="C40:D40"/>
    <mergeCell ref="C41:D41"/>
    <mergeCell ref="B42:B49"/>
    <mergeCell ref="C22:D22"/>
    <mergeCell ref="C23:D23"/>
    <mergeCell ref="C14:D14"/>
    <mergeCell ref="C15:D15"/>
    <mergeCell ref="B17:B19"/>
    <mergeCell ref="C17:D17"/>
    <mergeCell ref="C18:D18"/>
    <mergeCell ref="C19:D19"/>
    <mergeCell ref="C24:D24"/>
    <mergeCell ref="C42:D42"/>
    <mergeCell ref="C43:D43"/>
    <mergeCell ref="C44:D44"/>
    <mergeCell ref="C45:D45"/>
    <mergeCell ref="C46:D46"/>
    <mergeCell ref="C47:D47"/>
    <mergeCell ref="B50:D50"/>
    <mergeCell ref="B51:D52"/>
    <mergeCell ref="E51:E52"/>
    <mergeCell ref="F51:F52"/>
    <mergeCell ref="B53:B57"/>
    <mergeCell ref="E53:E57"/>
  </mergeCells>
  <printOptions horizontalCentered="1"/>
  <pageMargins bottom="0.75" footer="0.0" header="0.0" left="0.25" right="0.25" top="0.75"/>
  <pageSetup paperSize="8" orientation="portrait"/>
  <drawing r:id="rId1"/>
</worksheet>
</file>